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ходные" sheetId="1" state="visible" r:id="rId3"/>
    <sheet name="RPS" sheetId="2" state="visible" r:id="rId4"/>
    <sheet name="Хранилище" sheetId="3" state="visible" r:id="rId5"/>
    <sheet name="Bandwidth" sheetId="4" state="visible" r:id="rId6"/>
    <sheet name="Ресурсы" sheetId="5" state="visible" r:id="rId7"/>
    <sheet name="Стоимость" sheetId="6" state="visible" r:id="rId8"/>
    <sheet name="Оптимизация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<sst xmlns="http://schemas.openxmlformats.org/spreadsheetml/2006/main" count="335" uniqueCount="296">
  <si>
    <t xml:space="preserve">ДЗ 4 — калькулятор сайзинга. Сервис бронирования отелей</t>
  </si>
  <si>
    <t xml:space="preserve">Меняйте только СИНИЕ ячейки в столбце B (жёлтая заливка — ключевые допущения). Все остальные листы пересчитаются.</t>
  </si>
  <si>
    <t xml:space="preserve">Параметр</t>
  </si>
  <si>
    <t xml:space="preserve">Значение</t>
  </si>
  <si>
    <t xml:space="preserve">Ед.</t>
  </si>
  <si>
    <t xml:space="preserve">Источник / обоснование</t>
  </si>
  <si>
    <t xml:space="preserve">АУДИТОРИЯ</t>
  </si>
  <si>
    <t xml:space="preserve">MAU</t>
  </si>
  <si>
    <t xml:space="preserve">чел.</t>
  </si>
  <si>
    <t xml:space="preserve">Задание ДЗ 4</t>
  </si>
  <si>
    <t xml:space="preserve">DAU</t>
  </si>
  <si>
    <t xml:space="preserve">Бронирований на MAU в месяц</t>
  </si>
  <si>
    <t xml:space="preserve">шт.</t>
  </si>
  <si>
    <t xml:space="preserve">Бронирований в сутки</t>
  </si>
  <si>
    <t xml:space="preserve">MAU × броней в месяц ÷ 30</t>
  </si>
  <si>
    <t xml:space="preserve">Сессий на DAU в сутки</t>
  </si>
  <si>
    <t xml:space="preserve">Допущение: часть пользователей возвращается в течение дня</t>
  </si>
  <si>
    <t xml:space="preserve">ВОРОНКА (действий за сессию)</t>
  </si>
  <si>
    <t xml:space="preserve">Автодополнение города</t>
  </si>
  <si>
    <t xml:space="preserve">debounce при наборе</t>
  </si>
  <si>
    <t xml:space="preserve">Поисковая выдача (SERP)</t>
  </si>
  <si>
    <t xml:space="preserve">уточнение дат и фильтров</t>
  </si>
  <si>
    <t xml:space="preserve">Карточка отеля</t>
  </si>
  <si>
    <t xml:space="preserve">из ~20 отелей выдачи открывают 3</t>
  </si>
  <si>
    <t xml:space="preserve">Календарь / проверка доступности</t>
  </si>
  <si>
    <t xml:space="preserve">внутри карточки</t>
  </si>
  <si>
    <t xml:space="preserve">Профиль, «мои брони»</t>
  </si>
  <si>
    <t xml:space="preserve">КОЭФФИЦИЕНТЫ ПИКОВ</t>
  </si>
  <si>
    <t xml:space="preserve">k_сут (внутрисуточный)</t>
  </si>
  <si>
    <t xml:space="preserve">×</t>
  </si>
  <si>
    <t xml:space="preserve">~40% суточного трафика за 4 вечерних часа</t>
  </si>
  <si>
    <t xml:space="preserve">k_сезон</t>
  </si>
  <si>
    <t xml:space="preserve">Задание ДЗ 4: пик в сезон отпусков</t>
  </si>
  <si>
    <t xml:space="preserve">k_пик итоговый</t>
  </si>
  <si>
    <t xml:space="preserve">k_сут × k_сезон</t>
  </si>
  <si>
    <t xml:space="preserve">k_CM (channel manager)</t>
  </si>
  <si>
    <t xml:space="preserve">B2B-поток слабо зависит от сезона</t>
  </si>
  <si>
    <t xml:space="preserve">КАТАЛОГ И B2B-ПОТОК</t>
  </si>
  <si>
    <t xml:space="preserve">Отелей в каталоге</t>
  </si>
  <si>
    <t xml:space="preserve">Из ДЗ 3; зависит от рынка, а не от аудитории</t>
  </si>
  <si>
    <t xml:space="preserve">Типов номеров на отель</t>
  </si>
  <si>
    <t xml:space="preserve">Из ДЗ 3</t>
  </si>
  <si>
    <t xml:space="preserve">Тарифных планов на тип номера</t>
  </si>
  <si>
    <t xml:space="preserve">невозвратный + со свободной отменой</t>
  </si>
  <si>
    <t xml:space="preserve">Горизонт продаж</t>
  </si>
  <si>
    <t xml:space="preserve">дней</t>
  </si>
  <si>
    <t xml:space="preserve">18 месяцев вперёд</t>
  </si>
  <si>
    <t xml:space="preserve">Обновлений ячеек на отель в сутки</t>
  </si>
  <si>
    <t xml:space="preserve">~5% календаря; САМЫЙ ЧУВСТВИТЕЛЬНЫЙ параметр модели</t>
  </si>
  <si>
    <t xml:space="preserve">Строк в одном батче channel manager</t>
  </si>
  <si>
    <t xml:space="preserve">размер батча API партнёра</t>
  </si>
  <si>
    <t xml:space="preserve">ТЕХНИЧЕСКИЕ</t>
  </si>
  <si>
    <t xml:space="preserve">Целевая утилизация CPU</t>
  </si>
  <si>
    <t xml:space="preserve">выше — растёт p99 из-за очередей</t>
  </si>
  <si>
    <t xml:space="preserve">vCPU на под приложения</t>
  </si>
  <si>
    <t xml:space="preserve">Рост аудитории и каталога в год</t>
  </si>
  <si>
    <t xml:space="preserve">для горизонта 1 и 3 года</t>
  </si>
  <si>
    <t xml:space="preserve">Часов в месяце</t>
  </si>
  <si>
    <t xml:space="preserve">ч</t>
  </si>
  <si>
    <t xml:space="preserve">24 × 365 ÷ 12</t>
  </si>
  <si>
    <t xml:space="preserve">Хит-рейт кэша: автодополнение</t>
  </si>
  <si>
    <t xml:space="preserve">Хит-рейт кэша: SERP</t>
  </si>
  <si>
    <t xml:space="preserve">Из ДЗ 3, TTL 60 с</t>
  </si>
  <si>
    <t xml:space="preserve">Хит-рейт кэша: доступность</t>
  </si>
  <si>
    <t xml:space="preserve">Из ДЗ 3, TTL 30 с</t>
  </si>
  <si>
    <t xml:space="preserve">ЦЕНЫ, Yandex Cloud (прайс-лист, с НДС)</t>
  </si>
  <si>
    <t xml:space="preserve">vCPU (Ice Lake, 100%)</t>
  </si>
  <si>
    <t xml:space="preserve">₽/ч</t>
  </si>
  <si>
    <t xml:space="preserve">Проверять в калькуляторе провайдера перед защитой бюджета</t>
  </si>
  <si>
    <t xml:space="preserve">RAM</t>
  </si>
  <si>
    <t xml:space="preserve">₽/ГБ·ч</t>
  </si>
  <si>
    <t xml:space="preserve">Диск network-SSD</t>
  </si>
  <si>
    <t xml:space="preserve">₽/ГБ·мес</t>
  </si>
  <si>
    <t xml:space="preserve">Диск non-replicated SSD</t>
  </si>
  <si>
    <t xml:space="preserve">Диск network-HDD</t>
  </si>
  <si>
    <t xml:space="preserve">Object Storage (стандартное)</t>
  </si>
  <si>
    <t xml:space="preserve">Исходящий трафик (egress)</t>
  </si>
  <si>
    <t xml:space="preserve">₽/ГБ</t>
  </si>
  <si>
    <t xml:space="preserve">CDN</t>
  </si>
  <si>
    <t xml:space="preserve">Надбавка за managed-сервис</t>
  </si>
  <si>
    <t xml:space="preserve">оценка премии за управляемый сервис</t>
  </si>
  <si>
    <t xml:space="preserve">1. Расчёт RPS</t>
  </si>
  <si>
    <t xml:space="preserve">RPS_avg = Объём_сут / 86 400   ·   RPS_peak = RPS_avg × k_пик</t>
  </si>
  <si>
    <t xml:space="preserve">Эндпоинт</t>
  </si>
  <si>
    <t xml:space="preserve">Тип</t>
  </si>
  <si>
    <t xml:space="preserve">Формула объёма в сутки</t>
  </si>
  <si>
    <t xml:space="preserve">Объём/сут</t>
  </si>
  <si>
    <t xml:space="preserve">RPS avg</t>
  </si>
  <si>
    <t xml:space="preserve">RPS peak</t>
  </si>
  <si>
    <t xml:space="preserve">GET /autocomplete</t>
  </si>
  <si>
    <t xml:space="preserve">чтение</t>
  </si>
  <si>
    <t xml:space="preserve">DAU × сессий × автодополнений</t>
  </si>
  <si>
    <t xml:space="preserve">POST /graphql searchHotels (SERP)</t>
  </si>
  <si>
    <t xml:space="preserve">DAU × сессий × SERP</t>
  </si>
  <si>
    <t xml:space="preserve">GET /hotels/{id} (карточка)</t>
  </si>
  <si>
    <t xml:space="preserve">DAU × сессий × карточек</t>
  </si>
  <si>
    <t xml:space="preserve">CheckAvailability (календарь)</t>
  </si>
  <si>
    <t xml:space="preserve">DAU × сессий × проверок</t>
  </si>
  <si>
    <t xml:space="preserve">GET /users/me/bookings</t>
  </si>
  <si>
    <t xml:space="preserve">DAU × сессий × просмотров профиля</t>
  </si>
  <si>
    <t xml:space="preserve">CreateHold</t>
  </si>
  <si>
    <t xml:space="preserve">запись</t>
  </si>
  <si>
    <t xml:space="preserve">броней/сут × 1,5 (часть холдов истекает)</t>
  </si>
  <si>
    <t xml:space="preserve">ReleaseHold</t>
  </si>
  <si>
    <t xml:space="preserve">истёкшие и отменённые холды</t>
  </si>
  <si>
    <t xml:space="preserve">POST /v1/bookings</t>
  </si>
  <si>
    <t xml:space="preserve">из задания</t>
  </si>
  <si>
    <t xml:space="preserve">DELETE /v1/bookings/{id}</t>
  </si>
  <si>
    <t xml:space="preserve">15% отмен</t>
  </si>
  <si>
    <t xml:space="preserve">Payment authorize/capture/refund</t>
  </si>
  <si>
    <t xml:space="preserve">2,1 операции на бронь</t>
  </si>
  <si>
    <t xml:space="preserve">Channel manager (батчи)</t>
  </si>
  <si>
    <t xml:space="preserve">строк/сут ÷ размер батча</t>
  </si>
  <si>
    <t xml:space="preserve">  ↳ строк календаря</t>
  </si>
  <si>
    <t xml:space="preserve">отелей × обновлений на отель в сутки</t>
  </si>
  <si>
    <t xml:space="preserve">ИТОГО через API Gateway</t>
  </si>
  <si>
    <t xml:space="preserve">чтение + запись + батчи CM (без строк календаря)</t>
  </si>
  <si>
    <t xml:space="preserve">Read / Write на API</t>
  </si>
  <si>
    <t xml:space="preserve">чтение ÷ запись</t>
  </si>
  <si>
    <t xml:space="preserve">Производные нагрузки (после кэшей из ДЗ 3)</t>
  </si>
  <si>
    <t xml:space="preserve">Компонент</t>
  </si>
  <si>
    <t xml:space="preserve">Формула</t>
  </si>
  <si>
    <t xml:space="preserve">Пик</t>
  </si>
  <si>
    <t xml:space="preserve">Elasticsearch, QPS</t>
  </si>
  <si>
    <t xml:space="preserve">автодоп.×(1−hit) + SERP×(1−hit)</t>
  </si>
  <si>
    <t xml:space="preserve">Inventory PG, чтение RPS</t>
  </si>
  <si>
    <t xml:space="preserve">(календарь + карточка)×(1−hit)</t>
  </si>
  <si>
    <t xml:space="preserve">Inventory PG, запись строк/с</t>
  </si>
  <si>
    <t xml:space="preserve">тx/с × 3 ночи + строки channel manager</t>
  </si>
  <si>
    <t xml:space="preserve">Booking PG, запись строк/с</t>
  </si>
  <si>
    <t xml:space="preserve">брони × 6 (бронь + переходы статуса)</t>
  </si>
  <si>
    <t xml:space="preserve">Redis, ops/s</t>
  </si>
  <si>
    <t xml:space="preserve">чтения × 1,5 + rate-limit + сессии</t>
  </si>
  <si>
    <t xml:space="preserve">Внутренние gRPC, RPS</t>
  </si>
  <si>
    <t xml:space="preserve">fan-out 1,8 на внешний запрос</t>
  </si>
  <si>
    <t xml:space="preserve">2. Расчёт хранилища</t>
  </si>
  <si>
    <t xml:space="preserve">Объём = N_строк × S_строки × k_индексы × k_bloat. Для ScyllaDB — × RF × запас на compaction.</t>
  </si>
  <si>
    <t xml:space="preserve">Хранилище</t>
  </si>
  <si>
    <t xml:space="preserve">Формула количества строк/объектов</t>
  </si>
  <si>
    <t xml:space="preserve">Строк / объектов</t>
  </si>
  <si>
    <t xml:space="preserve">Байт на строку</t>
  </si>
  <si>
    <t xml:space="preserve">Объём сейчас, ГБ</t>
  </si>
  <si>
    <t xml:space="preserve">Через 1 год, ГБ</t>
  </si>
  <si>
    <t xml:space="preserve">Через 3 года, ГБ</t>
  </si>
  <si>
    <t xml:space="preserve">Характер роста</t>
  </si>
  <si>
    <t xml:space="preserve">Inventory PG: календарь</t>
  </si>
  <si>
    <t xml:space="preserve">отели × типы × горизонт</t>
  </si>
  <si>
    <t xml:space="preserve">окно 540 дней, растёт только с каталогом</t>
  </si>
  <si>
    <t xml:space="preserve">Inventory PG: holds</t>
  </si>
  <si>
    <t xml:space="preserve">холдов/сут × 30 дней хранения</t>
  </si>
  <si>
    <t xml:space="preserve">TTL</t>
  </si>
  <si>
    <t xml:space="preserve">Booking PG: брони + saga_instance</t>
  </si>
  <si>
    <t xml:space="preserve">MAU × броней/мес × 12</t>
  </si>
  <si>
    <t xml:space="preserve">retention 5 лет</t>
  </si>
  <si>
    <t xml:space="preserve">Booking PG: лог переходов</t>
  </si>
  <si>
    <t xml:space="preserve">броней в год × 6 переходов</t>
  </si>
  <si>
    <t xml:space="preserve">append-only</t>
  </si>
  <si>
    <t xml:space="preserve">Payment PG: платежи</t>
  </si>
  <si>
    <t xml:space="preserve">1 платёж на бронь</t>
  </si>
  <si>
    <t xml:space="preserve">партиции по месяцам</t>
  </si>
  <si>
    <t xml:space="preserve">Payment PG: попытки PSP (90 дней)</t>
  </si>
  <si>
    <t xml:space="preserve">броней × 1,3 попытки × 25% года</t>
  </si>
  <si>
    <t xml:space="preserve">остальное — в Object Storage</t>
  </si>
  <si>
    <t xml:space="preserve">Pricing Scylla: rate_calendar</t>
  </si>
  <si>
    <t xml:space="preserve">отели × типы × тарифы × горизонт</t>
  </si>
  <si>
    <t xml:space="preserve">× RF3 × 1,5 (compaction)</t>
  </si>
  <si>
    <t xml:space="preserve">Search ES: hotel_doc</t>
  </si>
  <si>
    <t xml:space="preserve">документов = отелей</t>
  </si>
  <si>
    <t xml:space="preserve">× 2 (индексы) × RF2 × 1,5</t>
  </si>
  <si>
    <t xml:space="preserve">Notification Scylla</t>
  </si>
  <si>
    <t xml:space="preserve">броней × 3,5 уведомл. × 180/365 дней</t>
  </si>
  <si>
    <t xml:space="preserve">× RF3, TTL 180 дней</t>
  </si>
  <si>
    <t xml:space="preserve">ClickHouse: события</t>
  </si>
  <si>
    <t xml:space="preserve">9,5 млн событий/сут × 365</t>
  </si>
  <si>
    <t xml:space="preserve">сжатие ~10×, TTL деталей 12 мес</t>
  </si>
  <si>
    <t xml:space="preserve">Kafka</t>
  </si>
  <si>
    <t xml:space="preserve">9,5 млн событий/сут × 7 дней retention</t>
  </si>
  <si>
    <t xml:space="preserve">× RF3</t>
  </si>
  <si>
    <t xml:space="preserve">S3: фото</t>
  </si>
  <si>
    <t xml:space="preserve">отели × 20 фото × 3 размера</t>
  </si>
  <si>
    <t xml:space="preserve">растёт с каталогом</t>
  </si>
  <si>
    <t xml:space="preserve">Redis (RAM)</t>
  </si>
  <si>
    <t xml:space="preserve">SERP 8 + карточки 4 + сессии 3 + прочее 1</t>
  </si>
  <si>
    <t xml:space="preserve">окно</t>
  </si>
  <si>
    <t xml:space="preserve">ИТОГО «горячих» данных (без S3)</t>
  </si>
  <si>
    <t xml:space="preserve">ИТОГО S3</t>
  </si>
  <si>
    <t xml:space="preserve">Множители k_индексы×k_bloat / RF заложены в столбец «Объём»: PG ×1, Scylla ×4,5 (RF3×1,5), ES ×6, Kafka ×3.</t>
  </si>
  <si>
    <t xml:space="preserve">3. Расчёт bandwidth</t>
  </si>
  <si>
    <t xml:space="preserve">Мбит/с = Объём_байт_сут × 8 / 86 400 / 10⁶</t>
  </si>
  <si>
    <t xml:space="preserve">Поток</t>
  </si>
  <si>
    <t xml:space="preserve">Объём/сут, ГБ</t>
  </si>
  <si>
    <t xml:space="preserve">avg, Мбит/с</t>
  </si>
  <si>
    <t xml:space="preserve">peak, Мбит/с</t>
  </si>
  <si>
    <t xml:space="preserve">Оплачиваемо, ГБ/мес</t>
  </si>
  <si>
    <t xml:space="preserve">Медиа: превью в выдаче</t>
  </si>
  <si>
    <t xml:space="preserve">SERP × 15 картинок × 40 КБ</t>
  </si>
  <si>
    <t xml:space="preserve">Медиа: фото карточки</t>
  </si>
  <si>
    <t xml:space="preserve">карточек × 10 фото × 200 КБ</t>
  </si>
  <si>
    <t xml:space="preserve">API JSON (сырой)</t>
  </si>
  <si>
    <t xml:space="preserve">SERP×60КБ + карточка×40КБ + календарь×8КБ + автодоп×2КБ + профиль×20КБ</t>
  </si>
  <si>
    <t xml:space="preserve">API JSON после gzip ×5</t>
  </si>
  <si>
    <t xml:space="preserve">сырой ÷ 5</t>
  </si>
  <si>
    <t xml:space="preserve">Медиа всего (через CDN)</t>
  </si>
  <si>
    <t xml:space="preserve">превью + фото</t>
  </si>
  <si>
    <t xml:space="preserve">Origin (промах CDN 5% + API)</t>
  </si>
  <si>
    <t xml:space="preserve">медиа × 5% + API gzip</t>
  </si>
  <si>
    <t xml:space="preserve">Внутренний (gRPC + Kafka + репликация)</t>
  </si>
  <si>
    <t xml:space="preserve">~3× API</t>
  </si>
  <si>
    <t xml:space="preserve">ИТОГО полоса на пике, Гбит/с</t>
  </si>
  <si>
    <t xml:space="preserve">4. Оценка ресурсов</t>
  </si>
  <si>
    <t xml:space="preserve">N_подов = ⌈(RPS_peak × t_cpu) / (vCPU_под × утилизация)⌉, но не меньше HA-минимума</t>
  </si>
  <si>
    <t xml:space="preserve">Сервис</t>
  </si>
  <si>
    <t xml:space="preserve">Что обслуживает на пике</t>
  </si>
  <si>
    <t xml:space="preserve">t_cpu, мс</t>
  </si>
  <si>
    <t xml:space="preserve">CPU-мс/с</t>
  </si>
  <si>
    <t xml:space="preserve">vCPU нужно</t>
  </si>
  <si>
    <t xml:space="preserve">HA-минимум</t>
  </si>
  <si>
    <t xml:space="preserve">Подов</t>
  </si>
  <si>
    <t xml:space="preserve">API Gateway</t>
  </si>
  <si>
    <t xml:space="preserve">весь внешний трафик</t>
  </si>
  <si>
    <t xml:space="preserve">Search</t>
  </si>
  <si>
    <t xml:space="preserve">автодополнение (1 мс) + SERP (6 мс)</t>
  </si>
  <si>
    <t xml:space="preserve">Inventory</t>
  </si>
  <si>
    <t xml:space="preserve">календарь, карточка, холды, батчи CM (40 мс)</t>
  </si>
  <si>
    <t xml:space="preserve">Pricing</t>
  </si>
  <si>
    <t xml:space="preserve">обогащение выдачи и карточек + запись тарифов</t>
  </si>
  <si>
    <t xml:space="preserve">Booking</t>
  </si>
  <si>
    <t xml:space="preserve">оркестрация Saga</t>
  </si>
  <si>
    <t xml:space="preserve">Payment</t>
  </si>
  <si>
    <t xml:space="preserve">authorize / capture / refund</t>
  </si>
  <si>
    <t xml:space="preserve">User/Identity</t>
  </si>
  <si>
    <t xml:space="preserve">профиль + логины</t>
  </si>
  <si>
    <t xml:space="preserve">Notification</t>
  </si>
  <si>
    <t xml:space="preserve">отправка уведомлений</t>
  </si>
  <si>
    <t xml:space="preserve">Инфра-поды</t>
  </si>
  <si>
    <t xml:space="preserve">Debezium, hold-sweeper, планировщик, агенты</t>
  </si>
  <si>
    <t xml:space="preserve">ИТОГО</t>
  </si>
  <si>
    <t xml:space="preserve">vCPU запрошено</t>
  </si>
  <si>
    <t xml:space="preserve">подов приложений × vCPU на под + инфра</t>
  </si>
  <si>
    <t xml:space="preserve">RAM запрошено, ГБ</t>
  </si>
  <si>
    <t xml:space="preserve">подов × 4 ГБ + инфра × 2 ГБ</t>
  </si>
  <si>
    <t xml:space="preserve">Нод k8s 8 vCPU / 32 ГБ (пик)</t>
  </si>
  <si>
    <t xml:space="preserve">max(по CPU, по RAM) при утилизации 80%</t>
  </si>
  <si>
    <t xml:space="preserve">Нод k8s вне сезона</t>
  </si>
  <si>
    <t xml:space="preserve">HA-минимум 2 реплики на сервис</t>
  </si>
  <si>
    <t xml:space="preserve">5. Расчёт стоимости (Yandex Cloud, прайс-лист с НДС, без CUD)</t>
  </si>
  <si>
    <t xml:space="preserve">Узел ₽/мес = (vCPU × цена_vCPU + RAM × цена_RAM) × 730 ч × надбавка_managed + Диск × цена_диска</t>
  </si>
  <si>
    <t xml:space="preserve">Узлов</t>
  </si>
  <si>
    <t xml:space="preserve">vCPU</t>
  </si>
  <si>
    <t xml:space="preserve">RAM, ГБ</t>
  </si>
  <si>
    <t xml:space="preserve">Диск, ГБ</t>
  </si>
  <si>
    <t xml:space="preserve">Цена диска, ₽/ГБ·мес</t>
  </si>
  <si>
    <t xml:space="preserve">Managed</t>
  </si>
  <si>
    <t xml:space="preserve">₽/мес</t>
  </si>
  <si>
    <t xml:space="preserve">Kubernetes: воркеры (пик сезона)</t>
  </si>
  <si>
    <t xml:space="preserve">Inventory PostgreSQL: 2 шарда × 3 узла</t>
  </si>
  <si>
    <t xml:space="preserve">Booking PostgreSQL: 1 шард × 3 узла</t>
  </si>
  <si>
    <t xml:space="preserve">Payment PostgreSQL: 3 узла (PCI-контур)</t>
  </si>
  <si>
    <t xml:space="preserve">User PostgreSQL: 3 узла</t>
  </si>
  <si>
    <t xml:space="preserve">Pricing + Notification ScyllaDB: 3 узла</t>
  </si>
  <si>
    <t xml:space="preserve">Elasticsearch: 3 узла</t>
  </si>
  <si>
    <t xml:space="preserve">Redis: кэш 2 × 16 ГБ</t>
  </si>
  <si>
    <t xml:space="preserve">Redis: state 2 × 8 ГБ (AOF)</t>
  </si>
  <si>
    <t xml:space="preserve">Kafka: 3 брокера</t>
  </si>
  <si>
    <t xml:space="preserve">RabbitMQ: 3 узла</t>
  </si>
  <si>
    <t xml:space="preserve">ClickHouse: 2 узла</t>
  </si>
  <si>
    <t xml:space="preserve">Kubernetes: региональный мастер + балансировщик</t>
  </si>
  <si>
    <t xml:space="preserve">фикс. стоимость управляющего слоя</t>
  </si>
  <si>
    <t xml:space="preserve">медиатрафик × цена CDN</t>
  </si>
  <si>
    <t xml:space="preserve">Исходящий трафик с origin</t>
  </si>
  <si>
    <t xml:space="preserve">origin egress × цена</t>
  </si>
  <si>
    <t xml:space="preserve">Object Storage: фото + архив</t>
  </si>
  <si>
    <t xml:space="preserve">объём S3 × цена</t>
  </si>
  <si>
    <t xml:space="preserve">Логи, мониторинг, бэкапы</t>
  </si>
  <si>
    <t xml:space="preserve">оценка</t>
  </si>
  <si>
    <t xml:space="preserve">ИТОГО, ₽/мес</t>
  </si>
  <si>
    <t xml:space="preserve">ИТОГО, млн ₽/год</t>
  </si>
  <si>
    <t xml:space="preserve">Стоимость одной брони, ₽</t>
  </si>
  <si>
    <t xml:space="preserve">6. Оптимизация</t>
  </si>
  <si>
    <t xml:space="preserve">Экономия считается от базовой сметы на листе «Стоимость»</t>
  </si>
  <si>
    <t xml:space="preserve">Мера</t>
  </si>
  <si>
    <t xml:space="preserve">Как считается экономия</t>
  </si>
  <si>
    <t xml:space="preserve">% сметы</t>
  </si>
  <si>
    <t xml:space="preserve">1. AVIF/WebP + srcset + lazy-load</t>
  </si>
  <si>
    <t xml:space="preserve">превью 40→15 КБ, фото 200→90 КБ: CDN 105→47 ТБ + половина origin egress</t>
  </si>
  <si>
    <t xml:space="preserve">2. CUD на 1 год для БД и 5 базовых нод k8s</t>
  </si>
  <si>
    <t xml:space="preserve">−30% на compute-часть (≈75% стоимости узла) баз и базовых нод</t>
  </si>
  <si>
    <t xml:space="preserve">3. HPA/CA: пиковые ноды 2 мес/год + прерываемые ВМ</t>
  </si>
  <si>
    <t xml:space="preserve">(нод_пик − нод_база) × цена узла × (1 − 2/12 × 0,5)</t>
  </si>
  <si>
    <t xml:space="preserve">4. Tiered storage: архив партиций в Object Storage</t>
  </si>
  <si>
    <t xml:space="preserve">35% диска Inventory + 50% диска Payment + часть логов уходят с SSD</t>
  </si>
  <si>
    <t xml:space="preserve">5. Хит-рейт SERP 60%→80%: ES 3×(8/32) → 3×(4/16)</t>
  </si>
  <si>
    <t xml:space="preserve">нормализация ключа кэша + прогрев топ-20 городов</t>
  </si>
  <si>
    <t xml:space="preserve">ИТОГО экономия</t>
  </si>
  <si>
    <t xml:space="preserve">Стоимость после оптимизации, ₽/мес</t>
  </si>
  <si>
    <t xml:space="preserve">То же, млн ₽/год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</si>
</sst>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#,##0.0"/>
    <numFmt numFmtId="168" formatCode="#,##0&quot; : 1&quot;"/>
    <numFmt numFmtId="169" formatCode="#,##0&quot; ₽&quot;"/>
    <numFmt numFmtId="170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5"/>
      <c r="D5" s="5"/>
    </row>
    <row r="6" customFormat="false" ht="15" hidden="false" customHeight="false" outlineLevel="0" collapsed="false">
      <c r="A6" s="6" t="s">
        <v>7</v>
      </c>
      <c r="B6" s="7" t="n">
        <v>3000000</v>
      </c>
      <c r="C6" s="6" t="s">
        <v>8</v>
      </c>
      <c r="D6" s="8" t="s">
        <v>9</v>
      </c>
    </row>
    <row r="7" customFormat="false" ht="15" hidden="false" customHeight="false" outlineLevel="0" collapsed="false">
      <c r="A7" s="6" t="s">
        <v>10</v>
      </c>
      <c r="B7" s="7" t="n">
        <v>300000</v>
      </c>
      <c r="C7" s="6" t="s">
        <v>8</v>
      </c>
      <c r="D7" s="8" t="s">
        <v>9</v>
      </c>
    </row>
    <row r="8" customFormat="false" ht="15" hidden="false" customHeight="false" outlineLevel="0" collapsed="false">
      <c r="A8" s="6" t="s">
        <v>11</v>
      </c>
      <c r="B8" s="7" t="n">
        <v>1</v>
      </c>
      <c r="C8" s="6" t="s">
        <v>12</v>
      </c>
      <c r="D8" s="8" t="s">
        <v>9</v>
      </c>
    </row>
    <row r="9" customFormat="false" ht="15" hidden="false" customHeight="false" outlineLevel="0" collapsed="false">
      <c r="A9" s="6" t="s">
        <v>13</v>
      </c>
      <c r="B9" s="9" t="n">
        <f aca="false">B6*B8/30</f>
        <v>100000</v>
      </c>
      <c r="C9" s="6" t="s">
        <v>12</v>
      </c>
      <c r="D9" s="8" t="s">
        <v>14</v>
      </c>
    </row>
    <row r="10" customFormat="false" ht="15" hidden="false" customHeight="false" outlineLevel="0" collapsed="false">
      <c r="A10" s="6" t="s">
        <v>15</v>
      </c>
      <c r="B10" s="10" t="n">
        <v>1.3</v>
      </c>
      <c r="C10" s="6" t="s">
        <v>12</v>
      </c>
      <c r="D10" s="8" t="s">
        <v>16</v>
      </c>
    </row>
    <row r="11" customFormat="false" ht="15" hidden="false" customHeight="false" outlineLevel="0" collapsed="false">
      <c r="A11" s="4" t="s">
        <v>17</v>
      </c>
      <c r="B11" s="5"/>
      <c r="C11" s="5"/>
      <c r="D11" s="5"/>
    </row>
    <row r="12" customFormat="false" ht="15" hidden="false" customHeight="false" outlineLevel="0" collapsed="false">
      <c r="A12" s="6" t="s">
        <v>18</v>
      </c>
      <c r="B12" s="7" t="n">
        <v>6</v>
      </c>
      <c r="C12" s="6" t="s">
        <v>12</v>
      </c>
      <c r="D12" s="8" t="s">
        <v>19</v>
      </c>
    </row>
    <row r="13" customFormat="false" ht="15" hidden="false" customHeight="false" outlineLevel="0" collapsed="false">
      <c r="A13" s="6" t="s">
        <v>20</v>
      </c>
      <c r="B13" s="7" t="n">
        <v>5</v>
      </c>
      <c r="C13" s="6" t="s">
        <v>12</v>
      </c>
      <c r="D13" s="8" t="s">
        <v>21</v>
      </c>
    </row>
    <row r="14" customFormat="false" ht="15" hidden="false" customHeight="false" outlineLevel="0" collapsed="false">
      <c r="A14" s="6" t="s">
        <v>22</v>
      </c>
      <c r="B14" s="7" t="n">
        <v>3</v>
      </c>
      <c r="C14" s="6" t="s">
        <v>12</v>
      </c>
      <c r="D14" s="8" t="s">
        <v>23</v>
      </c>
    </row>
    <row r="15" customFormat="false" ht="15" hidden="false" customHeight="false" outlineLevel="0" collapsed="false">
      <c r="A15" s="6" t="s">
        <v>24</v>
      </c>
      <c r="B15" s="7" t="n">
        <v>4</v>
      </c>
      <c r="C15" s="6" t="s">
        <v>12</v>
      </c>
      <c r="D15" s="8" t="s">
        <v>25</v>
      </c>
    </row>
    <row r="16" customFormat="false" ht="15" hidden="false" customHeight="false" outlineLevel="0" collapsed="false">
      <c r="A16" s="6" t="s">
        <v>26</v>
      </c>
      <c r="B16" s="7" t="n">
        <v>1</v>
      </c>
      <c r="C16" s="6" t="s">
        <v>12</v>
      </c>
      <c r="D16" s="8"/>
    </row>
    <row r="17" customFormat="false" ht="15" hidden="false" customHeight="false" outlineLevel="0" collapsed="false">
      <c r="A17" s="4" t="s">
        <v>27</v>
      </c>
      <c r="B17" s="5"/>
      <c r="C17" s="5"/>
      <c r="D17" s="5"/>
    </row>
    <row r="18" customFormat="false" ht="15" hidden="false" customHeight="false" outlineLevel="0" collapsed="false">
      <c r="A18" s="6" t="s">
        <v>28</v>
      </c>
      <c r="B18" s="7" t="n">
        <v>2</v>
      </c>
      <c r="C18" s="6" t="s">
        <v>29</v>
      </c>
      <c r="D18" s="8" t="s">
        <v>30</v>
      </c>
    </row>
    <row r="19" customFormat="false" ht="15" hidden="false" customHeight="false" outlineLevel="0" collapsed="false">
      <c r="A19" s="6" t="s">
        <v>31</v>
      </c>
      <c r="B19" s="7" t="n">
        <v>5</v>
      </c>
      <c r="C19" s="6" t="s">
        <v>29</v>
      </c>
      <c r="D19" s="8" t="s">
        <v>32</v>
      </c>
    </row>
    <row r="20" customFormat="false" ht="15" hidden="false" customHeight="false" outlineLevel="0" collapsed="false">
      <c r="A20" s="6" t="s">
        <v>33</v>
      </c>
      <c r="B20" s="9" t="n">
        <f aca="false">B18*B19</f>
        <v>10</v>
      </c>
      <c r="C20" s="6" t="s">
        <v>29</v>
      </c>
      <c r="D20" s="8" t="s">
        <v>34</v>
      </c>
    </row>
    <row r="21" customFormat="false" ht="15" hidden="false" customHeight="false" outlineLevel="0" collapsed="false">
      <c r="A21" s="6" t="s">
        <v>35</v>
      </c>
      <c r="B21" s="7" t="n">
        <v>3</v>
      </c>
      <c r="C21" s="6" t="s">
        <v>29</v>
      </c>
      <c r="D21" s="8" t="s">
        <v>36</v>
      </c>
    </row>
    <row r="22" customFormat="false" ht="15" hidden="false" customHeight="false" outlineLevel="0" collapsed="false">
      <c r="A22" s="4" t="s">
        <v>37</v>
      </c>
      <c r="B22" s="5"/>
      <c r="C22" s="5"/>
      <c r="D22" s="5"/>
    </row>
    <row r="23" customFormat="false" ht="15" hidden="false" customHeight="false" outlineLevel="0" collapsed="false">
      <c r="A23" s="6" t="s">
        <v>38</v>
      </c>
      <c r="B23" s="7" t="n">
        <v>200000</v>
      </c>
      <c r="C23" s="6" t="s">
        <v>12</v>
      </c>
      <c r="D23" s="8" t="s">
        <v>39</v>
      </c>
    </row>
    <row r="24" customFormat="false" ht="15" hidden="false" customHeight="false" outlineLevel="0" collapsed="false">
      <c r="A24" s="6" t="s">
        <v>40</v>
      </c>
      <c r="B24" s="7" t="n">
        <v>8</v>
      </c>
      <c r="C24" s="6" t="s">
        <v>12</v>
      </c>
      <c r="D24" s="8" t="s">
        <v>41</v>
      </c>
    </row>
    <row r="25" customFormat="false" ht="15" hidden="false" customHeight="false" outlineLevel="0" collapsed="false">
      <c r="A25" s="6" t="s">
        <v>42</v>
      </c>
      <c r="B25" s="7" t="n">
        <v>2</v>
      </c>
      <c r="C25" s="6" t="s">
        <v>12</v>
      </c>
      <c r="D25" s="8" t="s">
        <v>43</v>
      </c>
    </row>
    <row r="26" customFormat="false" ht="15" hidden="false" customHeight="false" outlineLevel="0" collapsed="false">
      <c r="A26" s="6" t="s">
        <v>44</v>
      </c>
      <c r="B26" s="7" t="n">
        <v>540</v>
      </c>
      <c r="C26" s="6" t="s">
        <v>45</v>
      </c>
      <c r="D26" s="8" t="s">
        <v>46</v>
      </c>
    </row>
    <row r="27" customFormat="false" ht="15" hidden="false" customHeight="false" outlineLevel="0" collapsed="false">
      <c r="A27" s="6" t="s">
        <v>47</v>
      </c>
      <c r="B27" s="7" t="n">
        <v>400</v>
      </c>
      <c r="C27" s="6" t="s">
        <v>12</v>
      </c>
      <c r="D27" s="8" t="s">
        <v>48</v>
      </c>
    </row>
    <row r="28" customFormat="false" ht="15" hidden="false" customHeight="false" outlineLevel="0" collapsed="false">
      <c r="A28" s="6" t="s">
        <v>49</v>
      </c>
      <c r="B28" s="7" t="n">
        <v>100</v>
      </c>
      <c r="C28" s="6" t="s">
        <v>12</v>
      </c>
      <c r="D28" s="8" t="s">
        <v>50</v>
      </c>
    </row>
    <row r="29" customFormat="false" ht="15" hidden="false" customHeight="false" outlineLevel="0" collapsed="false">
      <c r="A29" s="4" t="s">
        <v>51</v>
      </c>
      <c r="B29" s="5"/>
      <c r="C29" s="5"/>
      <c r="D29" s="5"/>
    </row>
    <row r="30" customFormat="false" ht="15" hidden="false" customHeight="false" outlineLevel="0" collapsed="false">
      <c r="A30" s="6" t="s">
        <v>52</v>
      </c>
      <c r="B30" s="10" t="n">
        <v>0.6</v>
      </c>
      <c r="C30" s="6"/>
      <c r="D30" s="8" t="s">
        <v>53</v>
      </c>
    </row>
    <row r="31" customFormat="false" ht="15" hidden="false" customHeight="false" outlineLevel="0" collapsed="false">
      <c r="A31" s="6" t="s">
        <v>54</v>
      </c>
      <c r="B31" s="7" t="n">
        <v>2</v>
      </c>
      <c r="C31" s="6" t="s">
        <v>12</v>
      </c>
      <c r="D31" s="8"/>
    </row>
    <row r="32" customFormat="false" ht="15" hidden="false" customHeight="false" outlineLevel="0" collapsed="false">
      <c r="A32" s="6" t="s">
        <v>55</v>
      </c>
      <c r="B32" s="10" t="n">
        <v>0.2</v>
      </c>
      <c r="C32" s="6"/>
      <c r="D32" s="8" t="s">
        <v>56</v>
      </c>
    </row>
    <row r="33" customFormat="false" ht="15" hidden="false" customHeight="false" outlineLevel="0" collapsed="false">
      <c r="A33" s="6" t="s">
        <v>57</v>
      </c>
      <c r="B33" s="7" t="n">
        <v>730</v>
      </c>
      <c r="C33" s="6" t="s">
        <v>58</v>
      </c>
      <c r="D33" s="8" t="s">
        <v>59</v>
      </c>
    </row>
    <row r="34" customFormat="false" ht="15" hidden="false" customHeight="false" outlineLevel="0" collapsed="false">
      <c r="A34" s="6" t="s">
        <v>60</v>
      </c>
      <c r="B34" s="10" t="n">
        <v>0.9</v>
      </c>
      <c r="C34" s="6"/>
      <c r="D34" s="8" t="s">
        <v>41</v>
      </c>
    </row>
    <row r="35" customFormat="false" ht="15" hidden="false" customHeight="false" outlineLevel="0" collapsed="false">
      <c r="A35" s="6" t="s">
        <v>61</v>
      </c>
      <c r="B35" s="10" t="n">
        <v>0.6</v>
      </c>
      <c r="C35" s="6"/>
      <c r="D35" s="8" t="s">
        <v>62</v>
      </c>
    </row>
    <row r="36" customFormat="false" ht="15" hidden="false" customHeight="false" outlineLevel="0" collapsed="false">
      <c r="A36" s="6" t="s">
        <v>63</v>
      </c>
      <c r="B36" s="10" t="n">
        <v>0.9</v>
      </c>
      <c r="C36" s="6"/>
      <c r="D36" s="8" t="s">
        <v>64</v>
      </c>
    </row>
    <row r="37" customFormat="false" ht="15" hidden="false" customHeight="false" outlineLevel="0" collapsed="false">
      <c r="A37" s="4" t="s">
        <v>65</v>
      </c>
      <c r="B37" s="5"/>
      <c r="C37" s="5"/>
      <c r="D37" s="5"/>
    </row>
    <row r="38" customFormat="false" ht="15" hidden="false" customHeight="false" outlineLevel="0" collapsed="false">
      <c r="A38" s="6" t="s">
        <v>66</v>
      </c>
      <c r="B38" s="10" t="n">
        <v>1.15</v>
      </c>
      <c r="C38" s="6" t="s">
        <v>67</v>
      </c>
      <c r="D38" s="8" t="s">
        <v>68</v>
      </c>
    </row>
    <row r="39" customFormat="false" ht="15" hidden="false" customHeight="false" outlineLevel="0" collapsed="false">
      <c r="A39" s="6" t="s">
        <v>69</v>
      </c>
      <c r="B39" s="10" t="n">
        <v>0.31</v>
      </c>
      <c r="C39" s="6" t="s">
        <v>70</v>
      </c>
      <c r="D39" s="8"/>
    </row>
    <row r="40" customFormat="false" ht="15" hidden="false" customHeight="false" outlineLevel="0" collapsed="false">
      <c r="A40" s="6" t="s">
        <v>71</v>
      </c>
      <c r="B40" s="10" t="n">
        <v>11.3</v>
      </c>
      <c r="C40" s="6" t="s">
        <v>72</v>
      </c>
      <c r="D40" s="8"/>
    </row>
    <row r="41" customFormat="false" ht="15" hidden="false" customHeight="false" outlineLevel="0" collapsed="false">
      <c r="A41" s="6" t="s">
        <v>73</v>
      </c>
      <c r="B41" s="10" t="n">
        <v>5.7</v>
      </c>
      <c r="C41" s="6" t="s">
        <v>72</v>
      </c>
      <c r="D41" s="8"/>
    </row>
    <row r="42" customFormat="false" ht="15" hidden="false" customHeight="false" outlineLevel="0" collapsed="false">
      <c r="A42" s="6" t="s">
        <v>74</v>
      </c>
      <c r="B42" s="10" t="n">
        <v>3.25</v>
      </c>
      <c r="C42" s="6" t="s">
        <v>72</v>
      </c>
      <c r="D42" s="8"/>
    </row>
    <row r="43" customFormat="false" ht="15" hidden="false" customHeight="false" outlineLevel="0" collapsed="false">
      <c r="A43" s="6" t="s">
        <v>75</v>
      </c>
      <c r="B43" s="10" t="n">
        <v>2</v>
      </c>
      <c r="C43" s="6" t="s">
        <v>72</v>
      </c>
      <c r="D43" s="8"/>
    </row>
    <row r="44" customFormat="false" ht="15" hidden="false" customHeight="false" outlineLevel="0" collapsed="false">
      <c r="A44" s="6" t="s">
        <v>76</v>
      </c>
      <c r="B44" s="10" t="n">
        <v>0.98</v>
      </c>
      <c r="C44" s="6" t="s">
        <v>77</v>
      </c>
      <c r="D44" s="8"/>
    </row>
    <row r="45" customFormat="false" ht="15" hidden="false" customHeight="false" outlineLevel="0" collapsed="false">
      <c r="A45" s="6" t="s">
        <v>78</v>
      </c>
      <c r="B45" s="10" t="n">
        <v>1</v>
      </c>
      <c r="C45" s="6" t="s">
        <v>77</v>
      </c>
      <c r="D45" s="8"/>
    </row>
    <row r="46" customFormat="false" ht="15" hidden="false" customHeight="false" outlineLevel="0" collapsed="false">
      <c r="A46" s="6" t="s">
        <v>79</v>
      </c>
      <c r="B46" s="10" t="n">
        <v>1.25</v>
      </c>
      <c r="C46" s="6" t="s">
        <v>29</v>
      </c>
      <c r="D46" s="8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6" min="5" style="0" width="12"/>
  </cols>
  <sheetData>
    <row r="1" customFormat="false" ht="16.1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15" hidden="false" customHeight="false" outlineLevel="0" collapsed="false">
      <c r="A4" s="3" t="s">
        <v>83</v>
      </c>
      <c r="B4" s="3" t="s">
        <v>84</v>
      </c>
      <c r="C4" s="3" t="s">
        <v>85</v>
      </c>
      <c r="D4" s="3" t="s">
        <v>86</v>
      </c>
      <c r="E4" s="3" t="s">
        <v>87</v>
      </c>
      <c r="F4" s="3" t="s">
        <v>88</v>
      </c>
    </row>
    <row r="5" customFormat="false" ht="15" hidden="false" customHeight="false" outlineLevel="0" collapsed="false">
      <c r="A5" s="6" t="s">
        <v>89</v>
      </c>
      <c r="B5" s="6" t="s">
        <v>90</v>
      </c>
      <c r="C5" s="8" t="s">
        <v>91</v>
      </c>
      <c r="D5" s="9" t="n">
        <f aca="false">ROUND(Входные!$B$7*Входные!$B$10*Входные!$B$12,0)</f>
        <v>2340000</v>
      </c>
      <c r="E5" s="11" t="n">
        <f aca="false">D5/86400</f>
        <v>27.0833333333333</v>
      </c>
      <c r="F5" s="12" t="n">
        <f aca="false">E5*Входные!$B$20</f>
        <v>270.833333333333</v>
      </c>
    </row>
    <row r="6" customFormat="false" ht="15" hidden="false" customHeight="false" outlineLevel="0" collapsed="false">
      <c r="A6" s="6" t="s">
        <v>92</v>
      </c>
      <c r="B6" s="6" t="s">
        <v>90</v>
      </c>
      <c r="C6" s="8" t="s">
        <v>93</v>
      </c>
      <c r="D6" s="9" t="n">
        <f aca="false">ROUND(Входные!$B$7*Входные!$B$10*Входные!$B$13,0)</f>
        <v>1950000</v>
      </c>
      <c r="E6" s="11" t="n">
        <f aca="false">D6/86400</f>
        <v>22.5694444444444</v>
      </c>
      <c r="F6" s="12" t="n">
        <f aca="false">E6*Входные!$B$20</f>
        <v>225.694444444444</v>
      </c>
    </row>
    <row r="7" customFormat="false" ht="15" hidden="false" customHeight="false" outlineLevel="0" collapsed="false">
      <c r="A7" s="6" t="s">
        <v>94</v>
      </c>
      <c r="B7" s="6" t="s">
        <v>90</v>
      </c>
      <c r="C7" s="8" t="s">
        <v>95</v>
      </c>
      <c r="D7" s="9" t="n">
        <f aca="false">ROUND(Входные!$B$7*Входные!$B$10*Входные!$B$14,0)</f>
        <v>1170000</v>
      </c>
      <c r="E7" s="11" t="n">
        <f aca="false">D7/86400</f>
        <v>13.5416666666667</v>
      </c>
      <c r="F7" s="12" t="n">
        <f aca="false">E7*Входные!$B$20</f>
        <v>135.416666666667</v>
      </c>
    </row>
    <row r="8" customFormat="false" ht="15" hidden="false" customHeight="false" outlineLevel="0" collapsed="false">
      <c r="A8" s="6" t="s">
        <v>96</v>
      </c>
      <c r="B8" s="6" t="s">
        <v>90</v>
      </c>
      <c r="C8" s="8" t="s">
        <v>97</v>
      </c>
      <c r="D8" s="9" t="n">
        <f aca="false">ROUND(Входные!$B$7*Входные!$B$10*Входные!$B$15,0)</f>
        <v>1560000</v>
      </c>
      <c r="E8" s="11" t="n">
        <f aca="false">D8/86400</f>
        <v>18.0555555555556</v>
      </c>
      <c r="F8" s="12" t="n">
        <f aca="false">E8*Входные!$B$20</f>
        <v>180.555555555556</v>
      </c>
    </row>
    <row r="9" customFormat="false" ht="15" hidden="false" customHeight="false" outlineLevel="0" collapsed="false">
      <c r="A9" s="6" t="s">
        <v>98</v>
      </c>
      <c r="B9" s="6" t="s">
        <v>90</v>
      </c>
      <c r="C9" s="8" t="s">
        <v>99</v>
      </c>
      <c r="D9" s="9" t="n">
        <f aca="false">ROUND(Входные!$B$7*Входные!$B$10*Входные!$B$16,0)</f>
        <v>390000</v>
      </c>
      <c r="E9" s="11" t="n">
        <f aca="false">D9/86400</f>
        <v>4.51388888888889</v>
      </c>
      <c r="F9" s="12" t="n">
        <f aca="false">E9*Входные!$B$20</f>
        <v>45.1388888888889</v>
      </c>
    </row>
    <row r="10" customFormat="false" ht="15" hidden="false" customHeight="false" outlineLevel="0" collapsed="false">
      <c r="A10" s="6" t="s">
        <v>100</v>
      </c>
      <c r="B10" s="6" t="s">
        <v>101</v>
      </c>
      <c r="C10" s="8" t="s">
        <v>102</v>
      </c>
      <c r="D10" s="9" t="n">
        <f aca="false">ROUND(Входные!$B$9*1.5,0)</f>
        <v>150000</v>
      </c>
      <c r="E10" s="11" t="n">
        <f aca="false">D10/86400</f>
        <v>1.73611111111111</v>
      </c>
      <c r="F10" s="12" t="n">
        <f aca="false">E10*Входные!$B$20</f>
        <v>17.3611111111111</v>
      </c>
    </row>
    <row r="11" customFormat="false" ht="15" hidden="false" customHeight="false" outlineLevel="0" collapsed="false">
      <c r="A11" s="6" t="s">
        <v>103</v>
      </c>
      <c r="B11" s="6" t="s">
        <v>101</v>
      </c>
      <c r="C11" s="8" t="s">
        <v>104</v>
      </c>
      <c r="D11" s="9" t="n">
        <f aca="false">ROUND(Входные!$B$9*0.5,0)</f>
        <v>50000</v>
      </c>
      <c r="E11" s="11" t="n">
        <f aca="false">D11/86400</f>
        <v>0.578703703703704</v>
      </c>
      <c r="F11" s="12" t="n">
        <f aca="false">E11*Входные!$B$20</f>
        <v>5.78703703703704</v>
      </c>
    </row>
    <row r="12" customFormat="false" ht="15" hidden="false" customHeight="false" outlineLevel="0" collapsed="false">
      <c r="A12" s="6" t="s">
        <v>105</v>
      </c>
      <c r="B12" s="6" t="s">
        <v>101</v>
      </c>
      <c r="C12" s="8" t="s">
        <v>106</v>
      </c>
      <c r="D12" s="9" t="n">
        <f aca="false">Входные!$B$9</f>
        <v>100000</v>
      </c>
      <c r="E12" s="11" t="n">
        <f aca="false">D12/86400</f>
        <v>1.15740740740741</v>
      </c>
      <c r="F12" s="12" t="n">
        <f aca="false">E12*Входные!$B$20</f>
        <v>11.5740740740741</v>
      </c>
    </row>
    <row r="13" customFormat="false" ht="15" hidden="false" customHeight="false" outlineLevel="0" collapsed="false">
      <c r="A13" s="6" t="s">
        <v>107</v>
      </c>
      <c r="B13" s="6" t="s">
        <v>101</v>
      </c>
      <c r="C13" s="8" t="s">
        <v>108</v>
      </c>
      <c r="D13" s="9" t="n">
        <f aca="false">ROUND(Входные!$B$9*0.15,0)</f>
        <v>15000</v>
      </c>
      <c r="E13" s="11" t="n">
        <f aca="false">D13/86400</f>
        <v>0.173611111111111</v>
      </c>
      <c r="F13" s="12" t="n">
        <f aca="false">E13*Входные!$B$20</f>
        <v>1.73611111111111</v>
      </c>
    </row>
    <row r="14" customFormat="false" ht="15" hidden="false" customHeight="false" outlineLevel="0" collapsed="false">
      <c r="A14" s="6" t="s">
        <v>109</v>
      </c>
      <c r="B14" s="6" t="s">
        <v>101</v>
      </c>
      <c r="C14" s="8" t="s">
        <v>110</v>
      </c>
      <c r="D14" s="9" t="n">
        <f aca="false">ROUND(Входные!$B$9*2.1,0)</f>
        <v>210000</v>
      </c>
      <c r="E14" s="11" t="n">
        <f aca="false">D14/86400</f>
        <v>2.43055555555556</v>
      </c>
      <c r="F14" s="12" t="n">
        <f aca="false">E14*Входные!$B$20</f>
        <v>24.3055555555556</v>
      </c>
    </row>
    <row r="15" customFormat="false" ht="15" hidden="false" customHeight="false" outlineLevel="0" collapsed="false">
      <c r="A15" s="6" t="s">
        <v>111</v>
      </c>
      <c r="B15" s="6" t="s">
        <v>101</v>
      </c>
      <c r="C15" s="8" t="s">
        <v>112</v>
      </c>
      <c r="D15" s="9" t="n">
        <f aca="false">D16/Входные!$B$28</f>
        <v>800000</v>
      </c>
      <c r="E15" s="11" t="n">
        <f aca="false">D15/86400</f>
        <v>9.25925925925926</v>
      </c>
      <c r="F15" s="12" t="n">
        <f aca="false">E15*Входные!$B$21</f>
        <v>27.7777777777778</v>
      </c>
    </row>
    <row r="16" customFormat="false" ht="15" hidden="false" customHeight="false" outlineLevel="0" collapsed="false">
      <c r="A16" s="6" t="s">
        <v>113</v>
      </c>
      <c r="B16" s="6" t="s">
        <v>101</v>
      </c>
      <c r="C16" s="8" t="s">
        <v>114</v>
      </c>
      <c r="D16" s="9" t="n">
        <f aca="false">Входные!$B$23*Входные!$B$27</f>
        <v>80000000</v>
      </c>
      <c r="E16" s="11" t="n">
        <f aca="false">D16/86400</f>
        <v>925.925925925926</v>
      </c>
      <c r="F16" s="12" t="n">
        <f aca="false">E16*Входные!$B$21</f>
        <v>2777.77777777778</v>
      </c>
    </row>
    <row r="18" customFormat="false" ht="15" hidden="false" customHeight="false" outlineLevel="0" collapsed="false">
      <c r="A18" s="13" t="s">
        <v>115</v>
      </c>
      <c r="B18" s="6"/>
      <c r="C18" s="8" t="s">
        <v>116</v>
      </c>
      <c r="D18" s="12" t="n">
        <f aca="false">SUM(D5:D14)+D15</f>
        <v>8735000</v>
      </c>
      <c r="E18" s="14" t="n">
        <f aca="false">SUM(E5:E14)+E15</f>
        <v>101.099537037037</v>
      </c>
      <c r="F18" s="12" t="n">
        <f aca="false">SUM(F5:F14)+F15</f>
        <v>946.180555555556</v>
      </c>
    </row>
    <row r="19" customFormat="false" ht="15" hidden="false" customHeight="false" outlineLevel="0" collapsed="false">
      <c r="A19" s="13" t="s">
        <v>117</v>
      </c>
      <c r="B19" s="6"/>
      <c r="C19" s="8" t="s">
        <v>118</v>
      </c>
      <c r="D19" s="15" t="n">
        <f aca="false">SUM(D5:D9)/SUM(D10:D14)</f>
        <v>14.1142857142857</v>
      </c>
    </row>
    <row r="21" customFormat="false" ht="16.15" hidden="false" customHeight="false" outlineLevel="0" collapsed="false">
      <c r="A21" s="1" t="s">
        <v>119</v>
      </c>
    </row>
    <row r="22" customFormat="false" ht="15" hidden="false" customHeight="false" outlineLevel="0" collapsed="false">
      <c r="A22" s="3" t="s">
        <v>120</v>
      </c>
      <c r="B22" s="3"/>
      <c r="C22" s="3" t="s">
        <v>121</v>
      </c>
      <c r="D22" s="3"/>
      <c r="E22" s="3"/>
      <c r="F22" s="3" t="s">
        <v>122</v>
      </c>
    </row>
    <row r="23" customFormat="false" ht="15" hidden="false" customHeight="false" outlineLevel="0" collapsed="false">
      <c r="A23" s="13" t="s">
        <v>123</v>
      </c>
      <c r="C23" s="8" t="s">
        <v>124</v>
      </c>
      <c r="F23" s="12" t="n">
        <f aca="false">F5*(1-Входные!$B$34)+F6*(1-Входные!$B$35)</f>
        <v>117.361111111111</v>
      </c>
    </row>
    <row r="24" customFormat="false" ht="15" hidden="false" customHeight="false" outlineLevel="0" collapsed="false">
      <c r="A24" s="13" t="s">
        <v>125</v>
      </c>
      <c r="C24" s="8" t="s">
        <v>126</v>
      </c>
      <c r="F24" s="12" t="n">
        <f aca="false">(F8+F7)*(1-Входные!$B$36)</f>
        <v>31.5972222222222</v>
      </c>
    </row>
    <row r="25" customFormat="false" ht="15" hidden="false" customHeight="false" outlineLevel="0" collapsed="false">
      <c r="A25" s="13" t="s">
        <v>127</v>
      </c>
      <c r="C25" s="8" t="s">
        <v>128</v>
      </c>
      <c r="F25" s="12" t="n">
        <f aca="false">(F10+F11+F12+F13)*3+F16</f>
        <v>2887.15277777778</v>
      </c>
    </row>
    <row r="26" customFormat="false" ht="15" hidden="false" customHeight="false" outlineLevel="0" collapsed="false">
      <c r="A26" s="13" t="s">
        <v>129</v>
      </c>
      <c r="C26" s="8" t="s">
        <v>130</v>
      </c>
      <c r="F26" s="12" t="n">
        <f aca="false">F12*6+F13*3</f>
        <v>74.6527777777778</v>
      </c>
    </row>
    <row r="27" customFormat="false" ht="15" hidden="false" customHeight="false" outlineLevel="0" collapsed="false">
      <c r="A27" s="13" t="s">
        <v>131</v>
      </c>
      <c r="C27" s="8" t="s">
        <v>132</v>
      </c>
      <c r="F27" s="12" t="n">
        <f aca="false">SUM(F5:F9)*1.5+F18*2</f>
        <v>3178.81944444444</v>
      </c>
    </row>
    <row r="28" customFormat="false" ht="15" hidden="false" customHeight="false" outlineLevel="0" collapsed="false">
      <c r="A28" s="13" t="s">
        <v>133</v>
      </c>
      <c r="C28" s="8" t="s">
        <v>134</v>
      </c>
      <c r="F28" s="12" t="n">
        <f aca="false">F18*1.8</f>
        <v>1703.125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7" min="4" style="0" width="13"/>
    <col collapsed="false" customWidth="true" hidden="false" outlineLevel="0" max="8" min="8" style="0" width="28"/>
  </cols>
  <sheetData>
    <row r="1" customFormat="false" ht="16.15" hidden="false" customHeight="false" outlineLevel="0" collapsed="false">
      <c r="A1" s="1" t="s">
        <v>135</v>
      </c>
    </row>
    <row r="2" customFormat="false" ht="15" hidden="false" customHeight="false" outlineLevel="0" collapsed="false">
      <c r="A2" s="2" t="s">
        <v>136</v>
      </c>
    </row>
    <row r="4" customFormat="false" ht="23.85" hidden="false" customHeight="false" outlineLevel="0" collapsed="false">
      <c r="A4" s="3" t="s">
        <v>137</v>
      </c>
      <c r="B4" s="3" t="s">
        <v>138</v>
      </c>
      <c r="C4" s="3" t="s">
        <v>139</v>
      </c>
      <c r="D4" s="3" t="s">
        <v>140</v>
      </c>
      <c r="E4" s="3" t="s">
        <v>141</v>
      </c>
      <c r="F4" s="3" t="s">
        <v>142</v>
      </c>
      <c r="G4" s="3" t="s">
        <v>143</v>
      </c>
      <c r="H4" s="3" t="s">
        <v>144</v>
      </c>
    </row>
    <row r="5" customFormat="false" ht="15" hidden="false" customHeight="false" outlineLevel="0" collapsed="false">
      <c r="A5" s="6" t="s">
        <v>145</v>
      </c>
      <c r="B5" s="8" t="s">
        <v>146</v>
      </c>
      <c r="C5" s="9" t="n">
        <f aca="false">Входные!$B$23*Входные!$B$24*Входные!$B$26</f>
        <v>864000000</v>
      </c>
      <c r="D5" s="16" t="n">
        <v>230</v>
      </c>
      <c r="E5" s="12" t="n">
        <f aca="false">C5*D5*1/10^9</f>
        <v>198.72</v>
      </c>
      <c r="F5" s="12" t="n">
        <f aca="false">E5*(1+Входные!$B$32)</f>
        <v>238.464</v>
      </c>
      <c r="G5" s="12" t="n">
        <f aca="false">E5*(1+Входные!$B$32)^3</f>
        <v>343.38816</v>
      </c>
      <c r="H5" s="8" t="s">
        <v>147</v>
      </c>
    </row>
    <row r="6" customFormat="false" ht="15" hidden="false" customHeight="false" outlineLevel="0" collapsed="false">
      <c r="A6" s="6" t="s">
        <v>148</v>
      </c>
      <c r="B6" s="8" t="s">
        <v>149</v>
      </c>
      <c r="C6" s="9" t="n">
        <f aca="false">RPS!D10*30</f>
        <v>4500000</v>
      </c>
      <c r="D6" s="16" t="n">
        <v>250</v>
      </c>
      <c r="E6" s="12" t="n">
        <f aca="false">C6*D6*1/10^9</f>
        <v>1.125</v>
      </c>
      <c r="F6" s="12" t="n">
        <f aca="false">E6*(1+Входные!$B$32)</f>
        <v>1.35</v>
      </c>
      <c r="G6" s="12" t="n">
        <f aca="false">E6*(1+Входные!$B$32)^3</f>
        <v>1.944</v>
      </c>
      <c r="H6" s="8" t="s">
        <v>150</v>
      </c>
    </row>
    <row r="7" customFormat="false" ht="15" hidden="false" customHeight="false" outlineLevel="0" collapsed="false">
      <c r="A7" s="6" t="s">
        <v>151</v>
      </c>
      <c r="B7" s="8" t="s">
        <v>152</v>
      </c>
      <c r="C7" s="9" t="n">
        <f aca="false">Входные!$B$6*Входные!$B$8*12</f>
        <v>36000000</v>
      </c>
      <c r="D7" s="16" t="n">
        <v>1125</v>
      </c>
      <c r="E7" s="12" t="n">
        <f aca="false">C7*D7*1/10^9</f>
        <v>40.5</v>
      </c>
      <c r="F7" s="12" t="n">
        <f aca="false">E7</f>
        <v>40.5</v>
      </c>
      <c r="G7" s="12" t="n">
        <f aca="false">E7*((1+Входные!$B$32)^3-1)/Входные!$B$32</f>
        <v>147.42</v>
      </c>
      <c r="H7" s="8" t="s">
        <v>153</v>
      </c>
    </row>
    <row r="8" customFormat="false" ht="15" hidden="false" customHeight="false" outlineLevel="0" collapsed="false">
      <c r="A8" s="6" t="s">
        <v>154</v>
      </c>
      <c r="B8" s="8" t="s">
        <v>155</v>
      </c>
      <c r="C8" s="9" t="n">
        <f aca="false">C7*6</f>
        <v>216000000</v>
      </c>
      <c r="D8" s="16" t="n">
        <v>250</v>
      </c>
      <c r="E8" s="12" t="n">
        <f aca="false">C8*D8*1/10^9</f>
        <v>54</v>
      </c>
      <c r="F8" s="12" t="n">
        <f aca="false">E8</f>
        <v>54</v>
      </c>
      <c r="G8" s="12" t="n">
        <f aca="false">E8*((1+Входные!$B$32)^3-1)/Входные!$B$32</f>
        <v>196.56</v>
      </c>
      <c r="H8" s="8" t="s">
        <v>156</v>
      </c>
    </row>
    <row r="9" customFormat="false" ht="15" hidden="false" customHeight="false" outlineLevel="0" collapsed="false">
      <c r="A9" s="6" t="s">
        <v>157</v>
      </c>
      <c r="B9" s="8" t="s">
        <v>158</v>
      </c>
      <c r="C9" s="9" t="n">
        <f aca="false">C7</f>
        <v>36000000</v>
      </c>
      <c r="D9" s="16" t="n">
        <v>800</v>
      </c>
      <c r="E9" s="12" t="n">
        <f aca="false">C9*D9*1/10^9</f>
        <v>28.8</v>
      </c>
      <c r="F9" s="12" t="n">
        <f aca="false">E9</f>
        <v>28.8</v>
      </c>
      <c r="G9" s="12" t="n">
        <f aca="false">E9*((1+Входные!$B$32)^3-1)/Входные!$B$32</f>
        <v>104.832</v>
      </c>
      <c r="H9" s="8" t="s">
        <v>159</v>
      </c>
    </row>
    <row r="10" customFormat="false" ht="15" hidden="false" customHeight="false" outlineLevel="0" collapsed="false">
      <c r="A10" s="6" t="s">
        <v>160</v>
      </c>
      <c r="B10" s="8" t="s">
        <v>161</v>
      </c>
      <c r="C10" s="9" t="n">
        <f aca="false">C7*1.3*0.25</f>
        <v>11700000</v>
      </c>
      <c r="D10" s="16" t="n">
        <v>3000</v>
      </c>
      <c r="E10" s="12" t="n">
        <f aca="false">C10*D10*1/10^9</f>
        <v>35.1</v>
      </c>
      <c r="F10" s="12" t="n">
        <f aca="false">E10*(1+Входные!$B$32)</f>
        <v>42.12</v>
      </c>
      <c r="G10" s="12" t="n">
        <f aca="false">E10*(1+Входные!$B$32)^3</f>
        <v>60.6528</v>
      </c>
      <c r="H10" s="8" t="s">
        <v>162</v>
      </c>
    </row>
    <row r="11" customFormat="false" ht="15" hidden="false" customHeight="false" outlineLevel="0" collapsed="false">
      <c r="A11" s="6" t="s">
        <v>163</v>
      </c>
      <c r="B11" s="8" t="s">
        <v>164</v>
      </c>
      <c r="C11" s="9" t="n">
        <f aca="false">Входные!$B$23*Входные!$B$24*Входные!$B$25*Входные!$B$26</f>
        <v>1728000000</v>
      </c>
      <c r="D11" s="16" t="n">
        <v>40</v>
      </c>
      <c r="E11" s="12" t="n">
        <f aca="false">C11*D11*4.5/10^9</f>
        <v>311.04</v>
      </c>
      <c r="F11" s="12" t="n">
        <f aca="false">E11*(1+Входные!$B$32)</f>
        <v>373.248</v>
      </c>
      <c r="G11" s="12" t="n">
        <f aca="false">E11*(1+Входные!$B$32)^3</f>
        <v>537.47712</v>
      </c>
      <c r="H11" s="8" t="s">
        <v>165</v>
      </c>
    </row>
    <row r="12" customFormat="false" ht="15" hidden="false" customHeight="false" outlineLevel="0" collapsed="false">
      <c r="A12" s="6" t="s">
        <v>166</v>
      </c>
      <c r="B12" s="8" t="s">
        <v>167</v>
      </c>
      <c r="C12" s="9" t="n">
        <f aca="false">Входные!$B$23</f>
        <v>200000</v>
      </c>
      <c r="D12" s="16" t="n">
        <v>50000</v>
      </c>
      <c r="E12" s="12" t="n">
        <f aca="false">C12*D12*6/10^9</f>
        <v>60</v>
      </c>
      <c r="F12" s="12" t="n">
        <f aca="false">E12*(1+Входные!$B$32)</f>
        <v>72</v>
      </c>
      <c r="G12" s="12" t="n">
        <f aca="false">E12*(1+Входные!$B$32)^3</f>
        <v>103.68</v>
      </c>
      <c r="H12" s="8" t="s">
        <v>168</v>
      </c>
    </row>
    <row r="13" customFormat="false" ht="15" hidden="false" customHeight="false" outlineLevel="0" collapsed="false">
      <c r="A13" s="6" t="s">
        <v>169</v>
      </c>
      <c r="B13" s="8" t="s">
        <v>170</v>
      </c>
      <c r="C13" s="9" t="n">
        <f aca="false">C7*3.5*180/365</f>
        <v>62136986.3013699</v>
      </c>
      <c r="D13" s="16" t="n">
        <v>300</v>
      </c>
      <c r="E13" s="12" t="n">
        <f aca="false">C13*D13*3/10^9</f>
        <v>55.9232876712329</v>
      </c>
      <c r="F13" s="12" t="n">
        <f aca="false">E13*(1+Входные!$B$32)</f>
        <v>67.1079452054794</v>
      </c>
      <c r="G13" s="12" t="n">
        <f aca="false">E13*(1+Входные!$B$32)^3</f>
        <v>96.6354410958904</v>
      </c>
      <c r="H13" s="8" t="s">
        <v>171</v>
      </c>
    </row>
    <row r="14" customFormat="false" ht="15" hidden="false" customHeight="false" outlineLevel="0" collapsed="false">
      <c r="A14" s="6" t="s">
        <v>172</v>
      </c>
      <c r="B14" s="8" t="s">
        <v>173</v>
      </c>
      <c r="C14" s="9" t="n">
        <f aca="false">9500000*365</f>
        <v>3467500000</v>
      </c>
      <c r="D14" s="16" t="n">
        <v>40</v>
      </c>
      <c r="E14" s="12" t="n">
        <f aca="false">C14*D14*1/10^9</f>
        <v>138.7</v>
      </c>
      <c r="F14" s="12" t="n">
        <f aca="false">E14</f>
        <v>138.7</v>
      </c>
      <c r="G14" s="12" t="n">
        <f aca="false">E14*((1+Входные!$B$32)^3-1)/Входные!$B$32</f>
        <v>504.868</v>
      </c>
      <c r="H14" s="8" t="s">
        <v>174</v>
      </c>
    </row>
    <row r="15" customFormat="false" ht="15" hidden="false" customHeight="false" outlineLevel="0" collapsed="false">
      <c r="A15" s="6" t="s">
        <v>175</v>
      </c>
      <c r="B15" s="8" t="s">
        <v>176</v>
      </c>
      <c r="C15" s="9" t="n">
        <f aca="false">9500000*7</f>
        <v>66500000</v>
      </c>
      <c r="D15" s="16" t="n">
        <v>600</v>
      </c>
      <c r="E15" s="12" t="n">
        <f aca="false">C15*D15*3/10^9</f>
        <v>119.7</v>
      </c>
      <c r="F15" s="12" t="n">
        <f aca="false">E15*(1+Входные!$B$32)</f>
        <v>143.64</v>
      </c>
      <c r="G15" s="12" t="n">
        <f aca="false">E15*(1+Входные!$B$32)^3</f>
        <v>206.8416</v>
      </c>
      <c r="H15" s="8" t="s">
        <v>177</v>
      </c>
    </row>
    <row r="16" customFormat="false" ht="15" hidden="false" customHeight="false" outlineLevel="0" collapsed="false">
      <c r="A16" s="6" t="s">
        <v>178</v>
      </c>
      <c r="B16" s="8" t="s">
        <v>179</v>
      </c>
      <c r="C16" s="9" t="n">
        <f aca="false">Входные!$B$23*20*3</f>
        <v>12000000</v>
      </c>
      <c r="D16" s="16" t="n">
        <v>133000</v>
      </c>
      <c r="E16" s="12" t="n">
        <f aca="false">C16*D16*1/10^9</f>
        <v>1596</v>
      </c>
      <c r="F16" s="12" t="n">
        <f aca="false">E16*(1+Входные!$B$32)</f>
        <v>1915.2</v>
      </c>
      <c r="G16" s="12" t="n">
        <f aca="false">E16*(1+Входные!$B$32)^3</f>
        <v>2757.888</v>
      </c>
      <c r="H16" s="8" t="s">
        <v>180</v>
      </c>
    </row>
    <row r="17" customFormat="false" ht="15" hidden="false" customHeight="false" outlineLevel="0" collapsed="false">
      <c r="A17" s="6" t="s">
        <v>181</v>
      </c>
      <c r="B17" s="8" t="s">
        <v>182</v>
      </c>
      <c r="E17" s="12" t="n">
        <v>16</v>
      </c>
      <c r="F17" s="12" t="n">
        <f aca="false">E17*(1+Входные!$B$32)</f>
        <v>19.2</v>
      </c>
      <c r="G17" s="12" t="n">
        <f aca="false">E17*(1+Входные!$B$32)^3</f>
        <v>27.648</v>
      </c>
      <c r="H17" s="8" t="s">
        <v>183</v>
      </c>
    </row>
    <row r="18" customFormat="false" ht="15" hidden="false" customHeight="false" outlineLevel="0" collapsed="false">
      <c r="A18" s="13" t="s">
        <v>184</v>
      </c>
      <c r="E18" s="12" t="n">
        <f aca="false">SUM(E5:E15)+E17</f>
        <v>1059.60828767123</v>
      </c>
      <c r="F18" s="12" t="n">
        <f aca="false">SUM(F5:F15)+F17</f>
        <v>1219.12994520548</v>
      </c>
      <c r="G18" s="12" t="n">
        <f aca="false">SUM(G5:G15)+G17</f>
        <v>2331.94712109589</v>
      </c>
    </row>
    <row r="19" customFormat="false" ht="15" hidden="false" customHeight="false" outlineLevel="0" collapsed="false">
      <c r="A19" s="13" t="s">
        <v>185</v>
      </c>
      <c r="E19" s="12" t="n">
        <f aca="false">E16</f>
        <v>1596</v>
      </c>
      <c r="F19" s="12" t="n">
        <f aca="false">F16</f>
        <v>1915.2</v>
      </c>
      <c r="G19" s="12" t="n">
        <f aca="false">G16</f>
        <v>2757.888</v>
      </c>
    </row>
    <row r="21" customFormat="false" ht="15" hidden="false" customHeight="false" outlineLevel="0" collapsed="false">
      <c r="A21" s="2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2"/>
    <col collapsed="false" customWidth="true" hidden="false" outlineLevel="0" max="6" min="3" style="0" width="16"/>
  </cols>
  <sheetData>
    <row r="1" customFormat="false" ht="16.1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4" customFormat="false" ht="23.85" hidden="false" customHeight="false" outlineLevel="0" collapsed="false">
      <c r="A4" s="3" t="s">
        <v>189</v>
      </c>
      <c r="B4" s="3" t="s">
        <v>121</v>
      </c>
      <c r="C4" s="3" t="s">
        <v>190</v>
      </c>
      <c r="D4" s="3" t="s">
        <v>191</v>
      </c>
      <c r="E4" s="3" t="s">
        <v>192</v>
      </c>
      <c r="F4" s="3" t="s">
        <v>193</v>
      </c>
    </row>
    <row r="5" customFormat="false" ht="15" hidden="false" customHeight="false" outlineLevel="0" collapsed="false">
      <c r="A5" s="6" t="s">
        <v>194</v>
      </c>
      <c r="B5" s="8" t="s">
        <v>195</v>
      </c>
      <c r="C5" s="17" t="n">
        <f aca="false">RPS!D6*15*40000/10^9</f>
        <v>1170</v>
      </c>
      <c r="D5" s="18" t="n">
        <f aca="false">C5*8*1000/86400</f>
        <v>108.333333333333</v>
      </c>
      <c r="E5" s="12" t="n">
        <f aca="false">D5*Входные!$B$20</f>
        <v>1083.33333333333</v>
      </c>
      <c r="F5" s="18" t="n">
        <f aca="false">C5*30</f>
        <v>35100</v>
      </c>
    </row>
    <row r="6" customFormat="false" ht="15" hidden="false" customHeight="false" outlineLevel="0" collapsed="false">
      <c r="A6" s="6" t="s">
        <v>196</v>
      </c>
      <c r="B6" s="8" t="s">
        <v>197</v>
      </c>
      <c r="C6" s="17" t="n">
        <f aca="false">RPS!D7*10*200000/10^9</f>
        <v>2340</v>
      </c>
      <c r="D6" s="18" t="n">
        <f aca="false">C6*8*1000/86400</f>
        <v>216.666666666667</v>
      </c>
      <c r="E6" s="12" t="n">
        <f aca="false">D6*Входные!$B$20</f>
        <v>2166.66666666667</v>
      </c>
      <c r="F6" s="18" t="n">
        <f aca="false">C6*30</f>
        <v>70200</v>
      </c>
    </row>
    <row r="7" customFormat="false" ht="15" hidden="false" customHeight="false" outlineLevel="0" collapsed="false">
      <c r="A7" s="6" t="s">
        <v>198</v>
      </c>
      <c r="B7" s="8" t="s">
        <v>199</v>
      </c>
      <c r="C7" s="17" t="n">
        <f aca="false">(RPS!D6*60000+RPS!D7*40000+RPS!D8*8000+RPS!D5*2000+RPS!D9*20000)/10^9</f>
        <v>188.76</v>
      </c>
      <c r="D7" s="18" t="n">
        <f aca="false">C7*8*1000/86400</f>
        <v>17.4777777777778</v>
      </c>
      <c r="E7" s="12" t="n">
        <f aca="false">D7*Входные!$B$20</f>
        <v>174.777777777778</v>
      </c>
      <c r="F7" s="18" t="n">
        <f aca="false">C7*30</f>
        <v>5662.8</v>
      </c>
    </row>
    <row r="8" customFormat="false" ht="15" hidden="false" customHeight="false" outlineLevel="0" collapsed="false">
      <c r="A8" s="6" t="s">
        <v>200</v>
      </c>
      <c r="B8" s="8" t="s">
        <v>201</v>
      </c>
      <c r="C8" s="17" t="n">
        <f aca="false">C7/5</f>
        <v>37.752</v>
      </c>
      <c r="D8" s="18" t="n">
        <f aca="false">C8*8*1000/86400</f>
        <v>3.49555555555556</v>
      </c>
      <c r="E8" s="12" t="n">
        <f aca="false">D8*Входные!$B$20</f>
        <v>34.9555555555556</v>
      </c>
      <c r="F8" s="18" t="n">
        <f aca="false">C8*30</f>
        <v>1132.56</v>
      </c>
    </row>
    <row r="9" customFormat="false" ht="15" hidden="false" customHeight="false" outlineLevel="0" collapsed="false">
      <c r="A9" s="13" t="s">
        <v>202</v>
      </c>
      <c r="B9" s="8" t="s">
        <v>203</v>
      </c>
      <c r="C9" s="14" t="n">
        <f aca="false">C5+C6</f>
        <v>3510</v>
      </c>
      <c r="D9" s="12" t="n">
        <f aca="false">C9*8*1000/86400</f>
        <v>325</v>
      </c>
      <c r="E9" s="12" t="n">
        <f aca="false">D9*Входные!$B$20</f>
        <v>3250</v>
      </c>
      <c r="F9" s="12" t="n">
        <f aca="false">C9*30</f>
        <v>105300</v>
      </c>
    </row>
    <row r="10" customFormat="false" ht="15" hidden="false" customHeight="false" outlineLevel="0" collapsed="false">
      <c r="A10" s="13" t="s">
        <v>204</v>
      </c>
      <c r="B10" s="8" t="s">
        <v>205</v>
      </c>
      <c r="C10" s="14" t="n">
        <f aca="false">C9*0.05+C8</f>
        <v>213.252</v>
      </c>
      <c r="D10" s="12" t="n">
        <f aca="false">C10*8*1000/86400</f>
        <v>19.7455555555556</v>
      </c>
      <c r="E10" s="12" t="n">
        <f aca="false">D10*Входные!$B$20</f>
        <v>197.455555555556</v>
      </c>
      <c r="F10" s="12" t="n">
        <f aca="false">C10*30</f>
        <v>6397.56</v>
      </c>
    </row>
    <row r="11" customFormat="false" ht="15" hidden="false" customHeight="false" outlineLevel="0" collapsed="false">
      <c r="A11" s="6" t="s">
        <v>206</v>
      </c>
      <c r="B11" s="8" t="s">
        <v>207</v>
      </c>
      <c r="C11" s="17" t="n">
        <f aca="false">C8*3</f>
        <v>113.256</v>
      </c>
      <c r="D11" s="18" t="n">
        <f aca="false">C11*8*1000/86400</f>
        <v>10.4866666666667</v>
      </c>
      <c r="E11" s="12" t="n">
        <f aca="false">D11*Входные!$B$20</f>
        <v>104.866666666667</v>
      </c>
    </row>
    <row r="13" customFormat="false" ht="15" hidden="false" customHeight="false" outlineLevel="0" collapsed="false">
      <c r="A13" s="13" t="s">
        <v>208</v>
      </c>
      <c r="E13" s="14" t="n">
        <f aca="false">(E9+E10)/1000</f>
        <v>3.44745555555556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4"/>
  </cols>
  <sheetData>
    <row r="1" customFormat="false" ht="16.15" hidden="false" customHeight="false" outlineLevel="0" collapsed="false">
      <c r="A1" s="1" t="s">
        <v>209</v>
      </c>
    </row>
    <row r="2" customFormat="false" ht="15" hidden="false" customHeight="false" outlineLevel="0" collapsed="false">
      <c r="A2" s="2" t="s">
        <v>210</v>
      </c>
    </row>
    <row r="4" customFormat="false" ht="15" hidden="false" customHeight="false" outlineLevel="0" collapsed="false">
      <c r="A4" s="3" t="s">
        <v>211</v>
      </c>
      <c r="B4" s="3" t="s">
        <v>212</v>
      </c>
      <c r="C4" s="3" t="s">
        <v>213</v>
      </c>
      <c r="D4" s="3" t="s">
        <v>214</v>
      </c>
      <c r="E4" s="3" t="s">
        <v>215</v>
      </c>
      <c r="F4" s="3" t="s">
        <v>216</v>
      </c>
      <c r="G4" s="3" t="s">
        <v>217</v>
      </c>
    </row>
    <row r="5" customFormat="false" ht="15" hidden="false" customHeight="false" outlineLevel="0" collapsed="false">
      <c r="A5" s="6" t="s">
        <v>218</v>
      </c>
      <c r="B5" s="8" t="s">
        <v>219</v>
      </c>
      <c r="C5" s="16" t="n">
        <v>3</v>
      </c>
      <c r="D5" s="9" t="n">
        <f aca="false">RPS!F18*C5</f>
        <v>2838.54166666667</v>
      </c>
      <c r="E5" s="11" t="n">
        <f aca="false">D5/1000/Входные!$B$30</f>
        <v>4.73090277777778</v>
      </c>
      <c r="F5" s="18" t="n">
        <v>3</v>
      </c>
      <c r="G5" s="12" t="n">
        <f aca="false">MAX(F5,CEILING(E5/Входные!$B$31,1))</f>
        <v>3</v>
      </c>
    </row>
    <row r="6" customFormat="false" ht="15" hidden="false" customHeight="false" outlineLevel="0" collapsed="false">
      <c r="A6" s="6" t="s">
        <v>220</v>
      </c>
      <c r="B6" s="8" t="s">
        <v>221</v>
      </c>
      <c r="C6" s="16" t="n">
        <v>6</v>
      </c>
      <c r="D6" s="9" t="n">
        <f aca="false">RPS!F5*1+RPS!F6*6</f>
        <v>1625</v>
      </c>
      <c r="E6" s="11" t="n">
        <f aca="false">D6/1000/Входные!$B$30</f>
        <v>2.70833333333333</v>
      </c>
      <c r="F6" s="18" t="n">
        <v>3</v>
      </c>
      <c r="G6" s="12" t="n">
        <f aca="false">MAX(F6,CEILING(E6/Входные!$B$31,1))</f>
        <v>3</v>
      </c>
    </row>
    <row r="7" customFormat="false" ht="15" hidden="false" customHeight="false" outlineLevel="0" collapsed="false">
      <c r="A7" s="6" t="s">
        <v>222</v>
      </c>
      <c r="B7" s="8" t="s">
        <v>223</v>
      </c>
      <c r="C7" s="16" t="n">
        <v>3</v>
      </c>
      <c r="D7" s="9" t="n">
        <f aca="false">RPS!F8*3+RPS!F7*2+(RPS!F10+RPS!F11)*5+RPS!F12*5+RPS!F15*40</f>
        <v>2097.22222222222</v>
      </c>
      <c r="E7" s="11" t="n">
        <f aca="false">D7/1000/Входные!$B$30</f>
        <v>3.49537037037037</v>
      </c>
      <c r="F7" s="18" t="n">
        <v>3</v>
      </c>
      <c r="G7" s="12" t="n">
        <f aca="false">MAX(F7,CEILING(E7/Входные!$B$31,1))</f>
        <v>3</v>
      </c>
    </row>
    <row r="8" customFormat="false" ht="15" hidden="false" customHeight="false" outlineLevel="0" collapsed="false">
      <c r="A8" s="6" t="s">
        <v>224</v>
      </c>
      <c r="B8" s="8" t="s">
        <v>225</v>
      </c>
      <c r="C8" s="16" t="n">
        <v>4</v>
      </c>
      <c r="D8" s="9" t="n">
        <f aca="false">RPS!F6*4+RPS!F7*4+RPS!F8*3+RPS!F15*30</f>
        <v>2819.44444444444</v>
      </c>
      <c r="E8" s="11" t="n">
        <f aca="false">D8/1000/Входные!$B$30</f>
        <v>4.69907407407407</v>
      </c>
      <c r="F8" s="18" t="n">
        <v>3</v>
      </c>
      <c r="G8" s="12" t="n">
        <f aca="false">MAX(F8,CEILING(E8/Входные!$B$31,1))</f>
        <v>3</v>
      </c>
    </row>
    <row r="9" customFormat="false" ht="15" hidden="false" customHeight="false" outlineLevel="0" collapsed="false">
      <c r="A9" s="6" t="s">
        <v>226</v>
      </c>
      <c r="B9" s="8" t="s">
        <v>227</v>
      </c>
      <c r="C9" s="16" t="n">
        <v>25</v>
      </c>
      <c r="D9" s="9" t="n">
        <f aca="false">RPS!F12*25+RPS!F13*20</f>
        <v>324.074074074074</v>
      </c>
      <c r="E9" s="11" t="n">
        <f aca="false">D9/1000/Входные!$B$30</f>
        <v>0.540123456790124</v>
      </c>
      <c r="F9" s="18" t="n">
        <v>3</v>
      </c>
      <c r="G9" s="12" t="n">
        <f aca="false">MAX(F9,CEILING(E9/Входные!$B$31,1))</f>
        <v>3</v>
      </c>
    </row>
    <row r="10" customFormat="false" ht="15" hidden="false" customHeight="false" outlineLevel="0" collapsed="false">
      <c r="A10" s="6" t="s">
        <v>228</v>
      </c>
      <c r="B10" s="8" t="s">
        <v>229</v>
      </c>
      <c r="C10" s="16" t="n">
        <v>15</v>
      </c>
      <c r="D10" s="9" t="n">
        <f aca="false">RPS!F14*15</f>
        <v>364.583333333333</v>
      </c>
      <c r="E10" s="11" t="n">
        <f aca="false">D10/1000/Входные!$B$30</f>
        <v>0.607638888888889</v>
      </c>
      <c r="F10" s="18" t="n">
        <v>3</v>
      </c>
      <c r="G10" s="12" t="n">
        <f aca="false">MAX(F10,CEILING(E10/Входные!$B$31,1))</f>
        <v>3</v>
      </c>
    </row>
    <row r="11" customFormat="false" ht="15" hidden="false" customHeight="false" outlineLevel="0" collapsed="false">
      <c r="A11" s="6" t="s">
        <v>230</v>
      </c>
      <c r="B11" s="8" t="s">
        <v>231</v>
      </c>
      <c r="C11" s="16" t="n">
        <v>3</v>
      </c>
      <c r="D11" s="9" t="n">
        <f aca="false">RPS!F9*3+20*10</f>
        <v>335.416666666667</v>
      </c>
      <c r="E11" s="11" t="n">
        <f aca="false">D11/1000/Входные!$B$30</f>
        <v>0.559027777777778</v>
      </c>
      <c r="F11" s="18" t="n">
        <v>3</v>
      </c>
      <c r="G11" s="12" t="n">
        <f aca="false">MAX(F11,CEILING(E11/Входные!$B$31,1))</f>
        <v>3</v>
      </c>
    </row>
    <row r="12" customFormat="false" ht="15" hidden="false" customHeight="false" outlineLevel="0" collapsed="false">
      <c r="A12" s="6" t="s">
        <v>232</v>
      </c>
      <c r="B12" s="8" t="s">
        <v>233</v>
      </c>
      <c r="C12" s="16" t="n">
        <v>10</v>
      </c>
      <c r="D12" s="9" t="n">
        <f aca="false">40*10</f>
        <v>400</v>
      </c>
      <c r="E12" s="11" t="n">
        <f aca="false">D12/1000/Входные!$B$30</f>
        <v>0.666666666666667</v>
      </c>
      <c r="F12" s="18" t="n">
        <v>2</v>
      </c>
      <c r="G12" s="12" t="n">
        <f aca="false">MAX(F12,CEILING(E12/Входные!$B$31,1))</f>
        <v>2</v>
      </c>
    </row>
    <row r="13" customFormat="false" ht="15" hidden="false" customHeight="false" outlineLevel="0" collapsed="false">
      <c r="A13" s="6" t="s">
        <v>234</v>
      </c>
      <c r="B13" s="8" t="s">
        <v>235</v>
      </c>
      <c r="E13" s="18" t="n">
        <v>7</v>
      </c>
      <c r="F13" s="18" t="n">
        <v>7</v>
      </c>
      <c r="G13" s="12" t="n">
        <v>7</v>
      </c>
    </row>
    <row r="14" customFormat="false" ht="15" hidden="false" customHeight="false" outlineLevel="0" collapsed="false">
      <c r="A14" s="13" t="s">
        <v>236</v>
      </c>
      <c r="D14" s="12" t="n">
        <f aca="false">SUM(D5:D12)</f>
        <v>10804.2824074074</v>
      </c>
      <c r="E14" s="14" t="n">
        <f aca="false">SUM(E5:E13)</f>
        <v>25.007137345679</v>
      </c>
      <c r="G14" s="12" t="n">
        <f aca="false">SUM(G5:G13)</f>
        <v>30</v>
      </c>
    </row>
    <row r="16" customFormat="false" ht="15" hidden="false" customHeight="false" outlineLevel="0" collapsed="false">
      <c r="A16" s="13" t="s">
        <v>237</v>
      </c>
      <c r="B16" s="8" t="s">
        <v>238</v>
      </c>
      <c r="E16" s="12" t="n">
        <f aca="false">SUM(G5:G12)*Входные!$B$31+G13</f>
        <v>53</v>
      </c>
    </row>
    <row r="17" customFormat="false" ht="15" hidden="false" customHeight="false" outlineLevel="0" collapsed="false">
      <c r="A17" s="13" t="s">
        <v>239</v>
      </c>
      <c r="B17" s="8" t="s">
        <v>240</v>
      </c>
      <c r="E17" s="12" t="n">
        <f aca="false">SUM(G5:G12)*4+G13*2</f>
        <v>106</v>
      </c>
    </row>
    <row r="18" customFormat="false" ht="15" hidden="false" customHeight="false" outlineLevel="0" collapsed="false">
      <c r="A18" s="13" t="s">
        <v>241</v>
      </c>
      <c r="B18" s="8" t="s">
        <v>242</v>
      </c>
      <c r="E18" s="12" t="n">
        <f aca="false">MAX(3,CEILING(E16/0.8/8,1),CEILING(E17/0.8/32,1))</f>
        <v>9</v>
      </c>
    </row>
    <row r="19" customFormat="false" ht="15" hidden="false" customHeight="false" outlineLevel="0" collapsed="false">
      <c r="A19" s="13" t="s">
        <v>243</v>
      </c>
      <c r="B19" s="8" t="s">
        <v>244</v>
      </c>
      <c r="E19" s="16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9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1" t="s">
        <v>245</v>
      </c>
    </row>
    <row r="2" customFormat="false" ht="15" hidden="false" customHeight="false" outlineLevel="0" collapsed="false">
      <c r="A2" s="2" t="s">
        <v>246</v>
      </c>
    </row>
    <row r="4" customFormat="false" ht="23.85" hidden="false" customHeight="false" outlineLevel="0" collapsed="false">
      <c r="A4" s="3" t="s">
        <v>120</v>
      </c>
      <c r="B4" s="3" t="s">
        <v>247</v>
      </c>
      <c r="C4" s="3" t="s">
        <v>248</v>
      </c>
      <c r="D4" s="3" t="s">
        <v>249</v>
      </c>
      <c r="E4" s="3" t="s">
        <v>250</v>
      </c>
      <c r="F4" s="3" t="s">
        <v>251</v>
      </c>
      <c r="G4" s="3" t="s">
        <v>252</v>
      </c>
      <c r="H4" s="3" t="s">
        <v>253</v>
      </c>
    </row>
    <row r="5" customFormat="false" ht="15" hidden="false" customHeight="false" outlineLevel="0" collapsed="false">
      <c r="A5" s="6" t="s">
        <v>254</v>
      </c>
      <c r="B5" s="9" t="n">
        <f aca="false">Ресурсы!E18</f>
        <v>9</v>
      </c>
      <c r="C5" s="16" t="n">
        <v>8</v>
      </c>
      <c r="D5" s="16" t="n">
        <v>32</v>
      </c>
      <c r="E5" s="16" t="n">
        <v>100</v>
      </c>
      <c r="F5" s="19" t="n">
        <f aca="false">Входные!$B$40</f>
        <v>11.3</v>
      </c>
      <c r="G5" s="20" t="n">
        <v>1</v>
      </c>
      <c r="H5" s="21" t="n">
        <f aca="false">B5*((C5*Входные!$B$38+D5*Входные!$B$39)*Входные!$B$33*G5+E5*F5)</f>
        <v>135788.4</v>
      </c>
    </row>
    <row r="6" customFormat="false" ht="15" hidden="false" customHeight="false" outlineLevel="0" collapsed="false">
      <c r="A6" s="6" t="s">
        <v>255</v>
      </c>
      <c r="B6" s="16" t="n">
        <v>6</v>
      </c>
      <c r="C6" s="16" t="n">
        <v>8</v>
      </c>
      <c r="D6" s="16" t="n">
        <v>32</v>
      </c>
      <c r="E6" s="16" t="n">
        <v>500</v>
      </c>
      <c r="F6" s="19" t="n">
        <f aca="false">Входные!$B$40</f>
        <v>11.3</v>
      </c>
      <c r="G6" s="19" t="n">
        <f aca="false">Входные!$B$46</f>
        <v>1.25</v>
      </c>
      <c r="H6" s="21" t="n">
        <f aca="false">B6*((C6*Входные!$B$38+D6*Входные!$B$39)*Входные!$B$33*G6+E6*F6)</f>
        <v>138582</v>
      </c>
    </row>
    <row r="7" customFormat="false" ht="15" hidden="false" customHeight="false" outlineLevel="0" collapsed="false">
      <c r="A7" s="6" t="s">
        <v>256</v>
      </c>
      <c r="B7" s="16" t="n">
        <v>3</v>
      </c>
      <c r="C7" s="16" t="n">
        <v>4</v>
      </c>
      <c r="D7" s="16" t="n">
        <v>16</v>
      </c>
      <c r="E7" s="16" t="n">
        <v>700</v>
      </c>
      <c r="F7" s="19" t="n">
        <f aca="false">Входные!$B$40</f>
        <v>11.3</v>
      </c>
      <c r="G7" s="19" t="n">
        <f aca="false">Входные!$B$46</f>
        <v>1.25</v>
      </c>
      <c r="H7" s="21" t="n">
        <f aca="false">B7*((C7*Входные!$B$38+D7*Входные!$B$39)*Входные!$B$33*G7+E7*F7)</f>
        <v>49900.5</v>
      </c>
    </row>
    <row r="8" customFormat="false" ht="15" hidden="false" customHeight="false" outlineLevel="0" collapsed="false">
      <c r="A8" s="6" t="s">
        <v>257</v>
      </c>
      <c r="B8" s="16" t="n">
        <v>3</v>
      </c>
      <c r="C8" s="16" t="n">
        <v>4</v>
      </c>
      <c r="D8" s="16" t="n">
        <v>16</v>
      </c>
      <c r="E8" s="16" t="n">
        <v>400</v>
      </c>
      <c r="F8" s="19" t="n">
        <f aca="false">Входные!$B$40</f>
        <v>11.3</v>
      </c>
      <c r="G8" s="19" t="n">
        <f aca="false">Входные!$B$46</f>
        <v>1.25</v>
      </c>
      <c r="H8" s="21" t="n">
        <f aca="false">B8*((C8*Входные!$B$38+D8*Входные!$B$39)*Входные!$B$33*G8+E8*F8)</f>
        <v>39730.5</v>
      </c>
    </row>
    <row r="9" customFormat="false" ht="15" hidden="false" customHeight="false" outlineLevel="0" collapsed="false">
      <c r="A9" s="6" t="s">
        <v>258</v>
      </c>
      <c r="B9" s="16" t="n">
        <v>3</v>
      </c>
      <c r="C9" s="16" t="n">
        <v>2</v>
      </c>
      <c r="D9" s="16" t="n">
        <v>8</v>
      </c>
      <c r="E9" s="16" t="n">
        <v>100</v>
      </c>
      <c r="F9" s="19" t="n">
        <f aca="false">Входные!$B$40</f>
        <v>11.3</v>
      </c>
      <c r="G9" s="19" t="n">
        <f aca="false">Входные!$B$46</f>
        <v>1.25</v>
      </c>
      <c r="H9" s="21" t="n">
        <f aca="false">B9*((C9*Входные!$B$38+D9*Входные!$B$39)*Входные!$B$33*G9+E9*F9)</f>
        <v>16475.25</v>
      </c>
    </row>
    <row r="10" customFormat="false" ht="15" hidden="false" customHeight="false" outlineLevel="0" collapsed="false">
      <c r="A10" s="6" t="s">
        <v>259</v>
      </c>
      <c r="B10" s="16" t="n">
        <v>3</v>
      </c>
      <c r="C10" s="16" t="n">
        <v>8</v>
      </c>
      <c r="D10" s="16" t="n">
        <v>32</v>
      </c>
      <c r="E10" s="16" t="n">
        <v>700</v>
      </c>
      <c r="F10" s="19" t="n">
        <f aca="false">Входные!$B$41</f>
        <v>5.7</v>
      </c>
      <c r="G10" s="20" t="n">
        <v>1</v>
      </c>
      <c r="H10" s="21" t="n">
        <f aca="false">B10*((C10*Входные!$B$38+D10*Входные!$B$39)*Входные!$B$33*G10+E10*F10)</f>
        <v>53842.8</v>
      </c>
    </row>
    <row r="11" customFormat="false" ht="15" hidden="false" customHeight="false" outlineLevel="0" collapsed="false">
      <c r="A11" s="6" t="s">
        <v>260</v>
      </c>
      <c r="B11" s="16" t="n">
        <v>3</v>
      </c>
      <c r="C11" s="16" t="n">
        <v>8</v>
      </c>
      <c r="D11" s="16" t="n">
        <v>32</v>
      </c>
      <c r="E11" s="16" t="n">
        <v>150</v>
      </c>
      <c r="F11" s="19" t="n">
        <f aca="false">Входные!$B$40</f>
        <v>11.3</v>
      </c>
      <c r="G11" s="19" t="n">
        <f aca="false">Входные!$B$46</f>
        <v>1.25</v>
      </c>
      <c r="H11" s="21" t="n">
        <f aca="false">B11*((C11*Входные!$B$38+D11*Входные!$B$39)*Входные!$B$33*G11+E11*F11)</f>
        <v>57426</v>
      </c>
    </row>
    <row r="12" customFormat="false" ht="15" hidden="false" customHeight="false" outlineLevel="0" collapsed="false">
      <c r="A12" s="6" t="s">
        <v>261</v>
      </c>
      <c r="B12" s="16" t="n">
        <v>2</v>
      </c>
      <c r="C12" s="16" t="n">
        <v>2</v>
      </c>
      <c r="D12" s="16" t="n">
        <v>16</v>
      </c>
      <c r="E12" s="16" t="n">
        <v>0</v>
      </c>
      <c r="F12" s="19" t="n">
        <f aca="false">Входные!$B$40</f>
        <v>11.3</v>
      </c>
      <c r="G12" s="19" t="n">
        <f aca="false">Входные!$B$46</f>
        <v>1.25</v>
      </c>
      <c r="H12" s="21" t="n">
        <f aca="false">B12*((C12*Входные!$B$38+D12*Входные!$B$39)*Входные!$B$33*G12+E12*F12)</f>
        <v>13249.5</v>
      </c>
    </row>
    <row r="13" customFormat="false" ht="15" hidden="false" customHeight="false" outlineLevel="0" collapsed="false">
      <c r="A13" s="6" t="s">
        <v>262</v>
      </c>
      <c r="B13" s="16" t="n">
        <v>2</v>
      </c>
      <c r="C13" s="16" t="n">
        <v>2</v>
      </c>
      <c r="D13" s="16" t="n">
        <v>8</v>
      </c>
      <c r="E13" s="16" t="n">
        <v>20</v>
      </c>
      <c r="F13" s="19" t="n">
        <f aca="false">Входные!$B$40</f>
        <v>11.3</v>
      </c>
      <c r="G13" s="19" t="n">
        <f aca="false">Входные!$B$46</f>
        <v>1.25</v>
      </c>
      <c r="H13" s="21" t="n">
        <f aca="false">B13*((C13*Входные!$B$38+D13*Входные!$B$39)*Входные!$B$33*G13+E13*F13)</f>
        <v>9175.5</v>
      </c>
    </row>
    <row r="14" customFormat="false" ht="15" hidden="false" customHeight="false" outlineLevel="0" collapsed="false">
      <c r="A14" s="6" t="s">
        <v>263</v>
      </c>
      <c r="B14" s="16" t="n">
        <v>3</v>
      </c>
      <c r="C14" s="16" t="n">
        <v>4</v>
      </c>
      <c r="D14" s="16" t="n">
        <v>16</v>
      </c>
      <c r="E14" s="16" t="n">
        <v>200</v>
      </c>
      <c r="F14" s="19" t="n">
        <f aca="false">Входные!$B$40</f>
        <v>11.3</v>
      </c>
      <c r="G14" s="19" t="n">
        <f aca="false">Входные!$B$46</f>
        <v>1.25</v>
      </c>
      <c r="H14" s="21" t="n">
        <f aca="false">B14*((C14*Входные!$B$38+D14*Входные!$B$39)*Входные!$B$33*G14+E14*F14)</f>
        <v>32950.5</v>
      </c>
    </row>
    <row r="15" customFormat="false" ht="15" hidden="false" customHeight="false" outlineLevel="0" collapsed="false">
      <c r="A15" s="6" t="s">
        <v>264</v>
      </c>
      <c r="B15" s="16" t="n">
        <v>3</v>
      </c>
      <c r="C15" s="16" t="n">
        <v>2</v>
      </c>
      <c r="D15" s="16" t="n">
        <v>8</v>
      </c>
      <c r="E15" s="16" t="n">
        <v>50</v>
      </c>
      <c r="F15" s="19" t="n">
        <f aca="false">Входные!$B$40</f>
        <v>11.3</v>
      </c>
      <c r="G15" s="19" t="n">
        <f aca="false">Входные!$B$46</f>
        <v>1.25</v>
      </c>
      <c r="H15" s="21" t="n">
        <f aca="false">B15*((C15*Входные!$B$38+D15*Входные!$B$39)*Входные!$B$33*G15+E15*F15)</f>
        <v>14780.25</v>
      </c>
    </row>
    <row r="16" customFormat="false" ht="15" hidden="false" customHeight="false" outlineLevel="0" collapsed="false">
      <c r="A16" s="6" t="s">
        <v>265</v>
      </c>
      <c r="B16" s="16" t="n">
        <v>2</v>
      </c>
      <c r="C16" s="16" t="n">
        <v>8</v>
      </c>
      <c r="D16" s="16" t="n">
        <v>32</v>
      </c>
      <c r="E16" s="16" t="n">
        <v>700</v>
      </c>
      <c r="F16" s="19" t="n">
        <f aca="false">Входные!$B$42</f>
        <v>3.25</v>
      </c>
      <c r="G16" s="19" t="n">
        <f aca="false">Входные!$B$46</f>
        <v>1.25</v>
      </c>
      <c r="H16" s="21" t="n">
        <f aca="false">B16*((C16*Входные!$B$38+D16*Входные!$B$39)*Входные!$B$33*G16+E16*F16)</f>
        <v>39444</v>
      </c>
    </row>
    <row r="17" customFormat="false" ht="15" hidden="false" customHeight="false" outlineLevel="0" collapsed="false">
      <c r="A17" s="6" t="s">
        <v>266</v>
      </c>
      <c r="F17" s="8" t="s">
        <v>267</v>
      </c>
      <c r="H17" s="21" t="n">
        <v>7500</v>
      </c>
    </row>
    <row r="18" customFormat="false" ht="15" hidden="false" customHeight="false" outlineLevel="0" collapsed="false">
      <c r="A18" s="6" t="s">
        <v>78</v>
      </c>
      <c r="F18" s="8" t="s">
        <v>268</v>
      </c>
      <c r="H18" s="21" t="n">
        <f aca="false">Bandwidth!F9*Входные!$B$45</f>
        <v>105300</v>
      </c>
    </row>
    <row r="19" customFormat="false" ht="15" hidden="false" customHeight="false" outlineLevel="0" collapsed="false">
      <c r="A19" s="6" t="s">
        <v>269</v>
      </c>
      <c r="F19" s="8" t="s">
        <v>270</v>
      </c>
      <c r="H19" s="21" t="n">
        <f aca="false">Bandwidth!F10*Входные!$B$44</f>
        <v>6269.6088</v>
      </c>
    </row>
    <row r="20" customFormat="false" ht="15" hidden="false" customHeight="false" outlineLevel="0" collapsed="false">
      <c r="A20" s="6" t="s">
        <v>271</v>
      </c>
      <c r="F20" s="8" t="s">
        <v>272</v>
      </c>
      <c r="H20" s="21" t="n">
        <f aca="false">(Хранилище!F16+120)*Входные!$B$43</f>
        <v>4070.4</v>
      </c>
    </row>
    <row r="21" customFormat="false" ht="15" hidden="false" customHeight="false" outlineLevel="0" collapsed="false">
      <c r="A21" s="6" t="s">
        <v>273</v>
      </c>
      <c r="F21" s="8" t="s">
        <v>274</v>
      </c>
      <c r="H21" s="21" t="n">
        <v>25000</v>
      </c>
    </row>
    <row r="22" customFormat="false" ht="15" hidden="false" customHeight="false" outlineLevel="0" collapsed="false">
      <c r="A22" s="13" t="s">
        <v>275</v>
      </c>
      <c r="H22" s="21" t="n">
        <f aca="false">SUM(H5:H21)</f>
        <v>749485.2088</v>
      </c>
    </row>
    <row r="23" customFormat="false" ht="15" hidden="false" customHeight="false" outlineLevel="0" collapsed="false">
      <c r="A23" s="13" t="s">
        <v>276</v>
      </c>
      <c r="H23" s="14" t="n">
        <f aca="false">H22*12/10^6</f>
        <v>8.9938225056</v>
      </c>
    </row>
    <row r="24" customFormat="false" ht="15" hidden="false" customHeight="false" outlineLevel="0" collapsed="false">
      <c r="A24" s="13" t="s">
        <v>277</v>
      </c>
      <c r="H24" s="22" t="n">
        <f aca="false">H22/(Входные!$B$6*Входные!$B$8)</f>
        <v>0.249828402933333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56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6.1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279</v>
      </c>
    </row>
    <row r="4" customFormat="false" ht="15" hidden="false" customHeight="false" outlineLevel="0" collapsed="false">
      <c r="A4" s="3" t="s">
        <v>280</v>
      </c>
      <c r="B4" s="3" t="s">
        <v>281</v>
      </c>
      <c r="C4" s="3" t="s">
        <v>253</v>
      </c>
      <c r="D4" s="3" t="s">
        <v>282</v>
      </c>
    </row>
    <row r="5" customFormat="false" ht="15" hidden="false" customHeight="false" outlineLevel="0" collapsed="false">
      <c r="A5" s="6" t="s">
        <v>283</v>
      </c>
      <c r="B5" s="8" t="s">
        <v>284</v>
      </c>
      <c r="C5" s="21" t="n">
        <f aca="false">Стоимость!H18*(1-(RPS!D6*15*15000+RPS!D7*10*90000)/(RPS!D6*15*40000+RPS!D7*10*200000))+Стоимость!H19*0.5</f>
        <v>63682.3044</v>
      </c>
      <c r="D5" s="23" t="n">
        <f aca="false">C5/Стоимость!H22</f>
        <v>0.0849680602796173</v>
      </c>
    </row>
    <row r="6" customFormat="false" ht="15" hidden="false" customHeight="false" outlineLevel="0" collapsed="false">
      <c r="A6" s="6" t="s">
        <v>285</v>
      </c>
      <c r="B6" s="8" t="s">
        <v>286</v>
      </c>
      <c r="C6" s="21" t="n">
        <f aca="false">(SUM(Стоимость!H6:H16)*0.75+Стоимость!H5*5/Ресурсы!E18)*0.3</f>
        <v>127381.68</v>
      </c>
      <c r="D6" s="23" t="n">
        <f aca="false">C6/Стоимость!H22</f>
        <v>0.169958897793261</v>
      </c>
    </row>
    <row r="7" customFormat="false" ht="15" hidden="false" customHeight="false" outlineLevel="0" collapsed="false">
      <c r="A7" s="6" t="s">
        <v>287</v>
      </c>
      <c r="B7" s="8" t="s">
        <v>288</v>
      </c>
      <c r="C7" s="21" t="n">
        <f aca="false">(Стоимость!H5/Ресурсы!E18)*(Ресурсы!E18-Ресурсы!E19)*(1-2/12*0.5)</f>
        <v>55321.2</v>
      </c>
      <c r="D7" s="23" t="n">
        <f aca="false">C7/Стоимость!H22</f>
        <v>0.0738122638718577</v>
      </c>
    </row>
    <row r="8" customFormat="false" ht="15" hidden="false" customHeight="false" outlineLevel="0" collapsed="false">
      <c r="A8" s="6" t="s">
        <v>289</v>
      </c>
      <c r="B8" s="8" t="s">
        <v>290</v>
      </c>
      <c r="C8" s="21" t="n">
        <f aca="false">Стоимость!E6*Стоимость!F6*Стоимость!B6*0.35+Стоимость!E8*Стоимость!F8*Стоимость!B8*0.5+12000</f>
        <v>30645</v>
      </c>
      <c r="D8" s="23" t="n">
        <f aca="false">C8/Стоимость!H22</f>
        <v>0.0408880650881232</v>
      </c>
    </row>
    <row r="9" customFormat="false" ht="15" hidden="false" customHeight="false" outlineLevel="0" collapsed="false">
      <c r="A9" s="6" t="s">
        <v>291</v>
      </c>
      <c r="B9" s="8" t="s">
        <v>292</v>
      </c>
      <c r="C9" s="21" t="n">
        <f aca="false">Стоимость!H11-3*((4*Входные!$B$38+16*Входные!$B$39)*Входные!$B$33*Входные!$B$46+150*Входные!$B$40)</f>
        <v>26170.5</v>
      </c>
      <c r="D9" s="23" t="n">
        <f aca="false">C9/Стоимость!H22</f>
        <v>0.0349179672830389</v>
      </c>
    </row>
    <row r="10" customFormat="false" ht="15" hidden="false" customHeight="false" outlineLevel="0" collapsed="false">
      <c r="A10" s="13" t="s">
        <v>293</v>
      </c>
      <c r="C10" s="21" t="n">
        <f aca="false">SUM(C5:C9)</f>
        <v>303200.6844</v>
      </c>
      <c r="D10" s="24" t="n">
        <f aca="false">C10/Стоимость!H22</f>
        <v>0.404545254315898</v>
      </c>
    </row>
    <row r="11" customFormat="false" ht="15" hidden="false" customHeight="false" outlineLevel="0" collapsed="false">
      <c r="A11" s="13" t="s">
        <v>294</v>
      </c>
      <c r="C11" s="21" t="n">
        <f aca="false">Стоимость!H22-C10</f>
        <v>446284.5244</v>
      </c>
    </row>
    <row r="12" customFormat="false" ht="15" hidden="false" customHeight="false" outlineLevel="0" collapsed="false">
      <c r="A12" s="13" t="s">
        <v>295</v>
      </c>
      <c r="C12" s="14" t="n">
        <f aca="false">C11*12/10^6</f>
        <v>5.3554142928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2026-08-29T08:07:31Z</dcterms:created>
  <dc:creator>openpyxl</dc:creator>
  <dc:description/>
  <dc:language>en-US</dc:language>
  <cp:lastModifiedBy/>
  <dcterms:modified xsi:type="dcterms:W3CDTF">2026-08-29T08:07:31Z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